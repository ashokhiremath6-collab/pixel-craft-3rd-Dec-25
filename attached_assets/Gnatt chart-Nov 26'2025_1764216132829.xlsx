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shok/Desktop/Desktop - Ashok’s MacBook Pro/Miscellaneous/Boss new desktop/B O S S         DESKTOP/PixelCraft/Gantt Charts/"/>
    </mc:Choice>
  </mc:AlternateContent>
  <xr:revisionPtr revIDLastSave="0" documentId="8_{B783959B-B65A-4D4A-94BA-323180F819BC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Tasks" sheetId="1" r:id="rId1"/>
    <sheet name="Instructions" sheetId="2" r:id="rId2"/>
  </sheets>
  <definedNames>
    <definedName name="_xlnm._FilterDatabase" localSheetId="0">Tasks!A1:R250</definedName>
    <definedName name="_xlnm.Print_Area" localSheetId="0">Tasks!$A$1:$I$8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9" i="1" l="1"/>
  <c r="D125" i="1"/>
  <c r="C125" i="1"/>
  <c r="D124" i="1"/>
  <c r="C124" i="1"/>
  <c r="D123" i="1"/>
  <c r="D122" i="1"/>
  <c r="D121" i="1"/>
  <c r="D120" i="1"/>
  <c r="D110" i="1"/>
  <c r="C110" i="1"/>
  <c r="D109" i="1"/>
  <c r="C109" i="1"/>
  <c r="D130" i="1"/>
  <c r="C130" i="1"/>
  <c r="D129" i="1"/>
  <c r="D155" i="1"/>
  <c r="C155" i="1"/>
  <c r="D147" i="1"/>
  <c r="C147" i="1"/>
  <c r="D156" i="1"/>
  <c r="C156" i="1"/>
  <c r="C157" i="1"/>
  <c r="C148" i="1"/>
  <c r="D148" i="1"/>
  <c r="D157" i="1"/>
  <c r="D146" i="1"/>
  <c r="D191" i="1"/>
  <c r="C191" i="1"/>
  <c r="D190" i="1"/>
  <c r="C190" i="1"/>
  <c r="D189" i="1"/>
  <c r="C189" i="1"/>
  <c r="C23" i="1"/>
  <c r="D23" i="1"/>
  <c r="D13" i="1"/>
  <c r="D12" i="1"/>
  <c r="C12" i="1"/>
  <c r="D11" i="1"/>
  <c r="C11" i="1"/>
  <c r="D10" i="1"/>
  <c r="C10" i="1"/>
  <c r="D18" i="1"/>
  <c r="C18" i="1"/>
  <c r="D17" i="1"/>
  <c r="C17" i="1"/>
  <c r="C15" i="1"/>
  <c r="D48" i="1"/>
  <c r="D53" i="1"/>
  <c r="D88" i="1"/>
  <c r="C88" i="1"/>
  <c r="D87" i="1"/>
  <c r="C87" i="1"/>
  <c r="D86" i="1"/>
  <c r="C86" i="1"/>
  <c r="D85" i="1"/>
  <c r="C85" i="1"/>
  <c r="D83" i="1"/>
  <c r="D82" i="1"/>
  <c r="D81" i="1"/>
  <c r="D80" i="1"/>
  <c r="D58" i="1"/>
  <c r="D57" i="1"/>
  <c r="D56" i="1"/>
  <c r="D55" i="1"/>
  <c r="D52" i="1"/>
  <c r="D51" i="1"/>
  <c r="D50" i="1"/>
  <c r="D47" i="1"/>
  <c r="D46" i="1"/>
  <c r="D45" i="1"/>
  <c r="D43" i="1"/>
  <c r="D42" i="1"/>
  <c r="D41" i="1"/>
  <c r="D40" i="1"/>
  <c r="D38" i="1"/>
  <c r="D37" i="1"/>
  <c r="D36" i="1"/>
  <c r="D35" i="1"/>
  <c r="D33" i="1"/>
  <c r="D32" i="1"/>
  <c r="D31" i="1"/>
  <c r="D30" i="1"/>
  <c r="D28" i="1"/>
  <c r="D27" i="1"/>
  <c r="D26" i="1"/>
  <c r="D25" i="1"/>
  <c r="D22" i="1"/>
  <c r="D21" i="1"/>
  <c r="D97" i="1"/>
  <c r="C97" i="1"/>
  <c r="D96" i="1"/>
  <c r="C96" i="1"/>
  <c r="D94" i="1"/>
  <c r="C94" i="1"/>
  <c r="D93" i="1"/>
  <c r="C93" i="1"/>
  <c r="D92" i="1"/>
  <c r="C92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70" i="1"/>
  <c r="C170" i="1"/>
  <c r="D167" i="1"/>
  <c r="C167" i="1"/>
  <c r="D128" i="1"/>
  <c r="C128" i="1"/>
  <c r="D145" i="1"/>
  <c r="C145" i="1"/>
  <c r="C146" i="1"/>
  <c r="C141" i="1"/>
  <c r="D152" i="1"/>
  <c r="C152" i="1"/>
  <c r="D151" i="1"/>
  <c r="C151" i="1"/>
  <c r="D150" i="1"/>
  <c r="C150" i="1"/>
  <c r="D143" i="1"/>
  <c r="C143" i="1"/>
  <c r="D142" i="1"/>
  <c r="C142" i="1"/>
  <c r="D141" i="1"/>
  <c r="D108" i="1"/>
  <c r="D127" i="1"/>
  <c r="C127" i="1"/>
  <c r="C123" i="1"/>
  <c r="C122" i="1"/>
  <c r="C121" i="1"/>
  <c r="C120" i="1"/>
  <c r="C108" i="1"/>
  <c r="D107" i="1"/>
  <c r="C107" i="1"/>
  <c r="D105" i="1"/>
  <c r="C105" i="1"/>
  <c r="D104" i="1"/>
  <c r="C104" i="1"/>
  <c r="D100" i="1"/>
  <c r="D103" i="1"/>
  <c r="D102" i="1"/>
  <c r="D101" i="1"/>
  <c r="C100" i="1"/>
  <c r="C103" i="1"/>
  <c r="C102" i="1"/>
  <c r="C101" i="1"/>
  <c r="C53" i="1"/>
  <c r="C52" i="1"/>
  <c r="C4" i="1"/>
  <c r="C47" i="1"/>
  <c r="C83" i="1"/>
  <c r="C82" i="1"/>
  <c r="C81" i="1"/>
  <c r="C80" i="1"/>
  <c r="C58" i="1"/>
  <c r="C57" i="1"/>
  <c r="C56" i="1"/>
  <c r="C55" i="1"/>
  <c r="C51" i="1"/>
  <c r="C50" i="1"/>
  <c r="C48" i="1"/>
  <c r="C43" i="1"/>
  <c r="C42" i="1"/>
  <c r="C41" i="1"/>
  <c r="C40" i="1"/>
  <c r="C46" i="1"/>
  <c r="C45" i="1"/>
  <c r="C38" i="1"/>
  <c r="C37" i="1"/>
  <c r="C36" i="1"/>
  <c r="C35" i="1"/>
  <c r="C33" i="1"/>
  <c r="C32" i="1"/>
  <c r="C31" i="1"/>
  <c r="C30" i="1"/>
  <c r="C28" i="1"/>
  <c r="C27" i="1"/>
  <c r="C26" i="1"/>
  <c r="C25" i="1" l="1"/>
  <c r="C22" i="1"/>
  <c r="C21" i="1"/>
  <c r="C20" i="1"/>
  <c r="C13" i="1"/>
  <c r="C7" i="1"/>
  <c r="C6" i="1"/>
  <c r="C5" i="1"/>
  <c r="D3" i="1"/>
  <c r="C3" i="1"/>
</calcChain>
</file>

<file path=xl/sharedStrings.xml><?xml version="1.0" encoding="utf-8"?>
<sst xmlns="http://schemas.openxmlformats.org/spreadsheetml/2006/main" count="2294" uniqueCount="464">
  <si>
    <t>ID</t>
  </si>
  <si>
    <t>Name</t>
  </si>
  <si>
    <t>Start</t>
  </si>
  <si>
    <t>Finish</t>
  </si>
  <si>
    <t>Duration</t>
  </si>
  <si>
    <t>% Complete</t>
  </si>
  <si>
    <t>Predecessors</t>
  </si>
  <si>
    <t>Resource Names</t>
  </si>
  <si>
    <t>Status</t>
  </si>
  <si>
    <t>Priority</t>
  </si>
  <si>
    <t>Approval Required</t>
  </si>
  <si>
    <t>Materials</t>
  </si>
  <si>
    <t>Owner</t>
  </si>
  <si>
    <t>Target Start</t>
  </si>
  <si>
    <t>Target Finish</t>
  </si>
  <si>
    <t>Remarks</t>
  </si>
  <si>
    <t>Outline Level</t>
  </si>
  <si>
    <t>Color</t>
  </si>
  <si>
    <t>PHASE • Design &amp; Approvals</t>
  </si>
  <si>
    <t/>
  </si>
  <si>
    <t>not_started</t>
  </si>
  <si>
    <t>high</t>
  </si>
  <si>
    <t>N</t>
  </si>
  <si>
    <t>Client Brief &amp; Scope</t>
  </si>
  <si>
    <t>Designer</t>
  </si>
  <si>
    <t>medium</t>
  </si>
  <si>
    <t>Schematic Drawings (Overall)</t>
  </si>
  <si>
    <t>2(FS)</t>
  </si>
  <si>
    <t>Working Drawings (Overall)</t>
  </si>
  <si>
    <t>3(FS)</t>
  </si>
  <si>
    <t>Finishes Board &amp; Samples (Overall)</t>
  </si>
  <si>
    <t>Y</t>
  </si>
  <si>
    <t>Client Sign‑off (Drawings &amp; Finishes)</t>
  </si>
  <si>
    <t>4(FS),5(FS)</t>
  </si>
  <si>
    <t>Client</t>
  </si>
  <si>
    <t>PHASE • Vendor Evaluation → Quotes → Finalisation → Work Orders</t>
  </si>
  <si>
    <t>PACKAGE • Civil</t>
  </si>
  <si>
    <t>6(FS)</t>
  </si>
  <si>
    <t>Civil: Vendor Evaluation (shortlist)</t>
  </si>
  <si>
    <t>8(FS)</t>
  </si>
  <si>
    <t>Civil: RFQs Issued</t>
  </si>
  <si>
    <t>10(FS)</t>
  </si>
  <si>
    <t>Civil: Vendor Finalisation</t>
  </si>
  <si>
    <t>13(FS)</t>
  </si>
  <si>
    <t>Designer+Client</t>
  </si>
  <si>
    <t>Civil: Work Order / PO Release</t>
  </si>
  <si>
    <t>14(FS)</t>
  </si>
  <si>
    <t>PACKAGE • Electricals</t>
  </si>
  <si>
    <t>16(FS)</t>
  </si>
  <si>
    <t>Electricals: RFQs Issued</t>
  </si>
  <si>
    <t>18(FS)</t>
  </si>
  <si>
    <t>Electricals: Vendor Finalisation</t>
  </si>
  <si>
    <t>21(FS)</t>
  </si>
  <si>
    <t>Electricals: Work Order / PO Release</t>
  </si>
  <si>
    <t>22(FS)</t>
  </si>
  <si>
    <t>PACKAGE • Plumbing</t>
  </si>
  <si>
    <t>Plumbing: Vendor Evaluation (shortlist)</t>
  </si>
  <si>
    <t>24(FS)</t>
  </si>
  <si>
    <t>Plumbing: RFQs Issued</t>
  </si>
  <si>
    <t>26(FS)</t>
  </si>
  <si>
    <t>Plumbing: Vendor Finalisation</t>
  </si>
  <si>
    <t>29(FS)</t>
  </si>
  <si>
    <t>Plumbing: Work Order / PO Release</t>
  </si>
  <si>
    <t>30(FS)</t>
  </si>
  <si>
    <t>PACKAGE • Kitchens</t>
  </si>
  <si>
    <t>Kitchens: Vendor Evaluation (shortlist)</t>
  </si>
  <si>
    <t>32(FS)</t>
  </si>
  <si>
    <t>Kitchens: RFQs Issued</t>
  </si>
  <si>
    <t>34(FS)</t>
  </si>
  <si>
    <t>Kitchens: Vendor Finalisation</t>
  </si>
  <si>
    <t>37(FS)</t>
  </si>
  <si>
    <t>Kitchens: Work Order / PO Release</t>
  </si>
  <si>
    <t>38(FS)</t>
  </si>
  <si>
    <t>Bathrooms: Vendor Evaluation (shortlist)</t>
  </si>
  <si>
    <t>40(FS)</t>
  </si>
  <si>
    <t>Bathrooms: RFQs Issued</t>
  </si>
  <si>
    <t>42(FS)</t>
  </si>
  <si>
    <t>Bathrooms: Vendor Finalisation</t>
  </si>
  <si>
    <t>45(FS)</t>
  </si>
  <si>
    <t>Bathrooms: Work Order / PO Release</t>
  </si>
  <si>
    <t>46(FS)</t>
  </si>
  <si>
    <t>PACKAGE • Audio</t>
  </si>
  <si>
    <t>Audio: Vendor Evaluation (shortlist)</t>
  </si>
  <si>
    <t>48(FS)</t>
  </si>
  <si>
    <t>Audio: RFQs Issued</t>
  </si>
  <si>
    <t>50(FS)</t>
  </si>
  <si>
    <t>Audio: Vendor Finalisation</t>
  </si>
  <si>
    <t>53(FS)</t>
  </si>
  <si>
    <t>Audio: Work Order / PO Release</t>
  </si>
  <si>
    <t>54(FS)</t>
  </si>
  <si>
    <t>PACKAGE • Automation</t>
  </si>
  <si>
    <t>Automation: Vendor Evaluation (shortlist)</t>
  </si>
  <si>
    <t>56(FS)</t>
  </si>
  <si>
    <t>Automation: RFQs Issued</t>
  </si>
  <si>
    <t>58(FS)</t>
  </si>
  <si>
    <t>Automation: Vendor Finalisation</t>
  </si>
  <si>
    <t>61(FS)</t>
  </si>
  <si>
    <t>Automation: Work Order / PO Release</t>
  </si>
  <si>
    <t>62(FS)</t>
  </si>
  <si>
    <t>PACKAGE • Lighting</t>
  </si>
  <si>
    <t>Lighting: Vendor Evaluation (shortlist)</t>
  </si>
  <si>
    <t>64(FS)</t>
  </si>
  <si>
    <t>Lighting: RFQs Issued</t>
  </si>
  <si>
    <t>66(FS)</t>
  </si>
  <si>
    <t>Lighting: Vendor Finalisation</t>
  </si>
  <si>
    <t>69(FS)</t>
  </si>
  <si>
    <t>Lighting: Work Order / PO Release</t>
  </si>
  <si>
    <t>70(FS)</t>
  </si>
  <si>
    <t>PACKAGE • HVAC</t>
  </si>
  <si>
    <t>HVAC: Vendor Evaluation (shortlist)</t>
  </si>
  <si>
    <t>72(FS)</t>
  </si>
  <si>
    <t>HVAC: RFQs Issued</t>
  </si>
  <si>
    <t>74(FS)</t>
  </si>
  <si>
    <t>HVAC: Vendor Finalisation</t>
  </si>
  <si>
    <t>77(FS)</t>
  </si>
  <si>
    <t>HVAC: Work Order / PO Release</t>
  </si>
  <si>
    <t>78(FS)</t>
  </si>
  <si>
    <t>Doors &amp; Windows: Vendor Evaluation (shortlist)</t>
  </si>
  <si>
    <t>80(FS)</t>
  </si>
  <si>
    <t>Doors &amp; Windows: RFQs Issued</t>
  </si>
  <si>
    <t>82(FS)</t>
  </si>
  <si>
    <t>Doors &amp; Windows: Vendor Finalisation</t>
  </si>
  <si>
    <t>85(FS)</t>
  </si>
  <si>
    <t>Doors &amp; Windows: Work Order / PO Release</t>
  </si>
  <si>
    <t>86(FS)</t>
  </si>
  <si>
    <t>PACKAGE • Wall Finishes</t>
  </si>
  <si>
    <t>Wall Finishes: Vendor Evaluation (shortlist)</t>
  </si>
  <si>
    <t>88(FS)</t>
  </si>
  <si>
    <t>Wall Finishes: RFQs Issued</t>
  </si>
  <si>
    <t>90(FS)</t>
  </si>
  <si>
    <t>Wall Finishes: Vendor Finalisation</t>
  </si>
  <si>
    <t>93(FS)</t>
  </si>
  <si>
    <t>Wall Finishes: Work Order / PO Release</t>
  </si>
  <si>
    <t>94(FS)</t>
  </si>
  <si>
    <t>Furnishing: Vendor Evaluation (shortlist)</t>
  </si>
  <si>
    <t>96(FS)</t>
  </si>
  <si>
    <t>Furnishing: RFQs Issued</t>
  </si>
  <si>
    <t>98(FS)</t>
  </si>
  <si>
    <t>Furnishing: Vendor Finalisation</t>
  </si>
  <si>
    <t>101(FS)</t>
  </si>
  <si>
    <t>Furnishing: Work Order / PO Release</t>
  </si>
  <si>
    <t>102(FS)</t>
  </si>
  <si>
    <t>PACKAGE • Soft Furnishing</t>
  </si>
  <si>
    <t>Soft Furnishing: Vendor Evaluation (shortlist)</t>
  </si>
  <si>
    <t>104(FS)</t>
  </si>
  <si>
    <t>Soft Furnishing: RFQs Issued</t>
  </si>
  <si>
    <t>106(FS)</t>
  </si>
  <si>
    <t>Soft Furnishing: Vendor Finalisation</t>
  </si>
  <si>
    <t>109(FS)</t>
  </si>
  <si>
    <t>Soft Furnishing: Work Order / PO Release</t>
  </si>
  <si>
    <t>110(FS)</t>
  </si>
  <si>
    <t>PACKAGE • Appliances</t>
  </si>
  <si>
    <t>Appliances: Vendor Evaluation (shortlist)</t>
  </si>
  <si>
    <t>112(FS)</t>
  </si>
  <si>
    <t>Appliances: RFQs Issued</t>
  </si>
  <si>
    <t>114(FS)</t>
  </si>
  <si>
    <t>Appliances: Vendor Finalisation</t>
  </si>
  <si>
    <t>117(FS)</t>
  </si>
  <si>
    <t>Appliances: Work Order / PO Release</t>
  </si>
  <si>
    <t>118(FS)</t>
  </si>
  <si>
    <t>PACKAGE • Flooring</t>
  </si>
  <si>
    <t>Flooring: Vendor Evaluation (shortlist)</t>
  </si>
  <si>
    <t>120(FS)</t>
  </si>
  <si>
    <t>Flooring: RFQs Issued</t>
  </si>
  <si>
    <t>122(FS)</t>
  </si>
  <si>
    <t>Flooring: Vendor Finalisation</t>
  </si>
  <si>
    <t>125(FS)</t>
  </si>
  <si>
    <t>Flooring: Work Order / PO Release</t>
  </si>
  <si>
    <t>126(FS)</t>
  </si>
  <si>
    <t>PACKAGE • Carpentry</t>
  </si>
  <si>
    <t>Carpentry: Vendor Evaluation (shortlist)</t>
  </si>
  <si>
    <t>128(FS)</t>
  </si>
  <si>
    <t>Carpentry: RFQs Issued</t>
  </si>
  <si>
    <t>130(FS)</t>
  </si>
  <si>
    <t>Carpentry: Vendor Finalisation</t>
  </si>
  <si>
    <t>133(FS)</t>
  </si>
  <si>
    <t>Carpentry: Work Order / PO Release</t>
  </si>
  <si>
    <t>134(FS)</t>
  </si>
  <si>
    <t>PHASE • Execution (Category-wise)</t>
  </si>
  <si>
    <t>EXECUTE • Civil</t>
  </si>
  <si>
    <t>15(FS)</t>
  </si>
  <si>
    <t>137(FS)</t>
  </si>
  <si>
    <t>Supervisor+Vendor</t>
  </si>
  <si>
    <t>Civil: Fabrication / Off‑site Prep (if applicable)</t>
  </si>
  <si>
    <t>138(FS)</t>
  </si>
  <si>
    <t>Vendor</t>
  </si>
  <si>
    <t>Civil: Installation / Execution</t>
  </si>
  <si>
    <t>140(FS)</t>
  </si>
  <si>
    <t>Vendor+Crew</t>
  </si>
  <si>
    <t>Civil: Testing &amp; Commissioning / QA‑QC</t>
  </si>
  <si>
    <t>141(FS)</t>
  </si>
  <si>
    <t>Vendor+Supervisor</t>
  </si>
  <si>
    <t>EXECUTE • Plumbing</t>
  </si>
  <si>
    <t>31(FS)</t>
  </si>
  <si>
    <t>149(FS)</t>
  </si>
  <si>
    <t>Plumbing: Fabrication / Off‑site Prep (if applicable)</t>
  </si>
  <si>
    <t>152(FS)</t>
  </si>
  <si>
    <t>Plumbing: Testing &amp; Commissioning / QA‑QC</t>
  </si>
  <si>
    <t>153(FS)</t>
  </si>
  <si>
    <t>EXECUTE • Kitchens</t>
  </si>
  <si>
    <t>39(FS)</t>
  </si>
  <si>
    <t>155(FS)</t>
  </si>
  <si>
    <t>Kitchens: Fabrication / Off‑site Prep (if applicable)</t>
  </si>
  <si>
    <t>Kitchens: Installation / Execution</t>
  </si>
  <si>
    <t>158(FS)</t>
  </si>
  <si>
    <t>Kitchens: Testing &amp; Commissioning / QA‑QC</t>
  </si>
  <si>
    <t>159(FS)</t>
  </si>
  <si>
    <t>EXECUTE • Bathrooms</t>
  </si>
  <si>
    <t>47(FS)</t>
  </si>
  <si>
    <t>161(FS)</t>
  </si>
  <si>
    <t>Bathrooms: Fabrication / Off‑site Prep (if applicable)</t>
  </si>
  <si>
    <t>164(FS)</t>
  </si>
  <si>
    <t>Bathrooms: Testing &amp; Commissioning / QA‑QC</t>
  </si>
  <si>
    <t>165(FS)</t>
  </si>
  <si>
    <t>EXECUTE • Audio</t>
  </si>
  <si>
    <t>55(FS)</t>
  </si>
  <si>
    <t>167(FS)</t>
  </si>
  <si>
    <t>Audio: Fabrication / Off‑site Prep (if applicable)</t>
  </si>
  <si>
    <t>170(FS)</t>
  </si>
  <si>
    <t>Audio: Testing &amp; Commissioning / QA‑QC</t>
  </si>
  <si>
    <t>171(FS)</t>
  </si>
  <si>
    <t>63(FS)</t>
  </si>
  <si>
    <t>173(FS)</t>
  </si>
  <si>
    <t>176(FS)</t>
  </si>
  <si>
    <t>177(FS)</t>
  </si>
  <si>
    <t>EXECUTE • HVAC</t>
  </si>
  <si>
    <t>79(FS)</t>
  </si>
  <si>
    <t>185(FS)</t>
  </si>
  <si>
    <t>HVAC: Fabrication / Off‑site Prep (if applicable)</t>
  </si>
  <si>
    <t>188(FS)</t>
  </si>
  <si>
    <t>HVAC: Testing &amp; Commissioning / QA‑QC</t>
  </si>
  <si>
    <t>189(FS)</t>
  </si>
  <si>
    <t>87(FS)</t>
  </si>
  <si>
    <t>191(FS)</t>
  </si>
  <si>
    <t>194(FS)</t>
  </si>
  <si>
    <t>195(FS)</t>
  </si>
  <si>
    <t>EXECUTE • Wall Finishes</t>
  </si>
  <si>
    <t>95(FS)</t>
  </si>
  <si>
    <t>197(FS)</t>
  </si>
  <si>
    <t>Wall Finishes: Fabrication / Off‑site Prep (if applicable)</t>
  </si>
  <si>
    <t>200(FS)</t>
  </si>
  <si>
    <t>Wall Finishes: Testing &amp; Commissioning / QA‑QC</t>
  </si>
  <si>
    <t>201(FS)</t>
  </si>
  <si>
    <t>EXECUTE • Furnishing</t>
  </si>
  <si>
    <t>103(FS)</t>
  </si>
  <si>
    <t>203(FS)</t>
  </si>
  <si>
    <t>Furnishing: Fabrication / Off‑site Prep (if applicable)</t>
  </si>
  <si>
    <t>Furnishing: Installation / Execution</t>
  </si>
  <si>
    <t>206(FS)</t>
  </si>
  <si>
    <t>Furnishing: Testing &amp; Commissioning / QA‑QC</t>
  </si>
  <si>
    <t>207(FS)</t>
  </si>
  <si>
    <t>EXECUTE • Soft Furnishing</t>
  </si>
  <si>
    <t>111(FS)</t>
  </si>
  <si>
    <t>209(FS)</t>
  </si>
  <si>
    <t>Soft Furnishing: Fabrication / Off‑site Prep (if applicable)</t>
  </si>
  <si>
    <t>Soft Furnishing: Installation / Execution</t>
  </si>
  <si>
    <t>212(FS)</t>
  </si>
  <si>
    <t>Soft Furnishing: Testing &amp; Commissioning / QA‑QC</t>
  </si>
  <si>
    <t>213(FS)</t>
  </si>
  <si>
    <t>EXECUTE • Appliances</t>
  </si>
  <si>
    <t>119(FS)</t>
  </si>
  <si>
    <t>215(FS)</t>
  </si>
  <si>
    <t>Appliances: Fabrication / Off‑site Prep (if applicable)</t>
  </si>
  <si>
    <t>Appliances: Installation / Execution</t>
  </si>
  <si>
    <t>218(FS)</t>
  </si>
  <si>
    <t>Appliances: Testing &amp; Commissioning / QA‑QC</t>
  </si>
  <si>
    <t>219(FS)</t>
  </si>
  <si>
    <t>EXECUTE • Flooring</t>
  </si>
  <si>
    <t>127(FS)</t>
  </si>
  <si>
    <t>221(FS)</t>
  </si>
  <si>
    <t>Flooring: Fabrication / Off‑site Prep (if applicable)</t>
  </si>
  <si>
    <t>Flooring: Installation / Execution</t>
  </si>
  <si>
    <t>224(FS)</t>
  </si>
  <si>
    <t>Flooring: Testing &amp; Commissioning / QA‑QC</t>
  </si>
  <si>
    <t>225(FS)</t>
  </si>
  <si>
    <t>EXECUTE • Carpentry</t>
  </si>
  <si>
    <t>135(FS)</t>
  </si>
  <si>
    <t>227(FS)</t>
  </si>
  <si>
    <t>Carpentry: Fabrication / Off‑site Prep (if applicable)</t>
  </si>
  <si>
    <t>228(FS)</t>
  </si>
  <si>
    <t>Carpentry: Installation / Execution</t>
  </si>
  <si>
    <t>230(FS)</t>
  </si>
  <si>
    <t>Carpentry: Testing &amp; Commissioning / QA‑QC</t>
  </si>
  <si>
    <t>231(FS)</t>
  </si>
  <si>
    <t>LINK • Flooring waits for Civil</t>
  </si>
  <si>
    <t>142(FS)</t>
  </si>
  <si>
    <t>LINK • Wall Finishes wait for Civil</t>
  </si>
  <si>
    <t>LINK • Doors &amp; Windows wait for Civil</t>
  </si>
  <si>
    <t>LINK • Carpentry waits for Civil</t>
  </si>
  <si>
    <t>LINK • Lighting after Electricals</t>
  </si>
  <si>
    <t>148(FS)</t>
  </si>
  <si>
    <t>LINK • Automation after Electricals</t>
  </si>
  <si>
    <t>LINK • Audio after Electricals</t>
  </si>
  <si>
    <t>LINK • Kitchens after Plumbing</t>
  </si>
  <si>
    <t>154(FS)</t>
  </si>
  <si>
    <t>LINK • Bathrooms after Plumbing</t>
  </si>
  <si>
    <t>LINK • Appliances after Kitchens &amp; Electricals</t>
  </si>
  <si>
    <t>160(FS),148(FS)</t>
  </si>
  <si>
    <t>PHASE • Closeout &amp; Handover</t>
  </si>
  <si>
    <t>All Trades Complete – Declaration</t>
  </si>
  <si>
    <t>142(FS),148(FS),154(FS),160(FS),166(FS),172(FS),178(FS),184(FS),190(FS),196(FS),202(FS),208(FS),214(FS),220(FS),226(FS),232(FS)</t>
  </si>
  <si>
    <t>Supervisor</t>
  </si>
  <si>
    <t>Snagging / Punch List</t>
  </si>
  <si>
    <t>234(FS)</t>
  </si>
  <si>
    <t>Designer+Supervisor</t>
  </si>
  <si>
    <t>Rectification of Snags</t>
  </si>
  <si>
    <t>235(FS)</t>
  </si>
  <si>
    <t>Relevant Vendors</t>
  </si>
  <si>
    <t>Client Demo &amp; Acceptance</t>
  </si>
  <si>
    <t>236(FS)</t>
  </si>
  <si>
    <t>Practical Completion / Handover</t>
  </si>
  <si>
    <t>237(FS)</t>
  </si>
  <si>
    <t>As‑Built Docs &amp; O&amp;M Manuals</t>
  </si>
  <si>
    <t>238(FS)</t>
  </si>
  <si>
    <t>PixelCraft Designer - Interior Design Gantt Chart Template</t>
  </si>
  <si>
    <t>QUICK START GUIDE</t>
  </si>
  <si>
    <t>1. Your template contains 249 pre-defined tasks organized by phases and packages</t>
  </si>
  <si>
    <t>2. Enter Start Date in column C (format: YYYY-MM-DD or use Ctrl+; for today)</t>
  </si>
  <si>
    <t>3. Duration (column E) is pre-filled - adjust as needed</t>
  </si>
  <si>
    <t>4. Dependencies (column G) are pre-configured in format: TaskID(Type)</t>
  </si>
  <si>
    <t>TASK ORGANIZATION</t>
  </si>
  <si>
    <t>• PHASE • Design &amp; Approvals - Initial design phase (6 tasks)</t>
  </si>
  <si>
    <t>• PHASE • Vendor Evaluation → Quotes → Finalisation → Work Orders</t>
  </si>
  <si>
    <t>• 20 PACKAGE categories: Civil, Electricals, Plumbing, Kitchens, Bathrooms, etc.</t>
  </si>
  <si>
    <t>• Each package has 7 sequential tasks: Evaluation → Meetings → RFQs → Quotes → Comparison → Finalisation → Work Order</t>
  </si>
  <si>
    <t>COLUMN REFERENCE</t>
  </si>
  <si>
    <t>Column</t>
  </si>
  <si>
    <t>Description</t>
  </si>
  <si>
    <t>How to Use</t>
  </si>
  <si>
    <t>Task identifier (1-249)</t>
  </si>
  <si>
    <t>Pre-filled, do not change</t>
  </si>
  <si>
    <t>Task name</t>
  </si>
  <si>
    <t>Pre-filled with real project tasks</t>
  </si>
  <si>
    <t>Start date</t>
  </si>
  <si>
    <t>Enter as YYYY-MM-DD (e.g., 2024-01-15)</t>
  </si>
  <si>
    <t>End date</t>
  </si>
  <si>
    <t>Leave blank - will calculate when imported</t>
  </si>
  <si>
    <t>Working days</t>
  </si>
  <si>
    <t>Pre-filled, adjust as needed</t>
  </si>
  <si>
    <t>Progress (0-100)</t>
  </si>
  <si>
    <t>Update as work progresses</t>
  </si>
  <si>
    <t>Dependencies</t>
  </si>
  <si>
    <t>Pre-configured: TaskID(Type) format</t>
  </si>
  <si>
    <t>Assigned team</t>
  </si>
  <si>
    <t>Designer, Client, Vendor, etc.</t>
  </si>
  <si>
    <t>Current status</t>
  </si>
  <si>
    <t>not_started, in_progress, completed, blocked</t>
  </si>
  <si>
    <t>Task priority</t>
  </si>
  <si>
    <t>low, medium, high</t>
  </si>
  <si>
    <t>Needs approval?</t>
  </si>
  <si>
    <t>Y or N</t>
  </si>
  <si>
    <t>Required materials</t>
  </si>
  <si>
    <t>Optional</t>
  </si>
  <si>
    <t>Task owner</t>
  </si>
  <si>
    <t>Planned start</t>
  </si>
  <si>
    <t>Optional - for planning</t>
  </si>
  <si>
    <t>Planned finish</t>
  </si>
  <si>
    <t>Notes</t>
  </si>
  <si>
    <t>Additional information</t>
  </si>
  <si>
    <t>Hierarchy</t>
  </si>
  <si>
    <t>1=Phase/Package, 2=Task</t>
  </si>
  <si>
    <t>Task color</t>
  </si>
  <si>
    <t>Optional hex code</t>
  </si>
  <si>
    <t>DEPENDENCY TYPES</t>
  </si>
  <si>
    <t>Format</t>
  </si>
  <si>
    <t>Type</t>
  </si>
  <si>
    <t>Meaning</t>
  </si>
  <si>
    <t>TaskID(FS)</t>
  </si>
  <si>
    <t>Finish-to-Start</t>
  </si>
  <si>
    <t>Task finishes before this starts</t>
  </si>
  <si>
    <t>TaskID(SS)</t>
  </si>
  <si>
    <t>Start-to-Start</t>
  </si>
  <si>
    <t>Task starts before this starts</t>
  </si>
  <si>
    <t>TaskID(FF)</t>
  </si>
  <si>
    <t>Finish-to-Finish</t>
  </si>
  <si>
    <t>Task finishes before this finishes</t>
  </si>
  <si>
    <t>TaskID(SF)</t>
  </si>
  <si>
    <t>Start-to-Finish</t>
  </si>
  <si>
    <t>Task starts before this finishes</t>
  </si>
  <si>
    <t>With lag</t>
  </si>
  <si>
    <t>Add delay</t>
  </si>
  <si>
    <t>2(FS)+3 = Wait 3 days after Task 2</t>
  </si>
  <si>
    <t>Multiple</t>
  </si>
  <si>
    <t>Comma-separated</t>
  </si>
  <si>
    <t>4(FS),5(FS) = Wait for both tasks</t>
  </si>
  <si>
    <t>AFTER IMPORT TO PIXELCRAFT DESIGNER</t>
  </si>
  <si>
    <t>• System calculates Finish dates automatically (Start + Duration - 1)</t>
  </si>
  <si>
    <t>• Critical Path Analysis identifies tasks that cannot be delayed</t>
  </si>
  <si>
    <t>• Project duration and critical percentage are displayed</t>
  </si>
  <si>
    <t>• Circular dependencies are detected and prevented</t>
  </si>
  <si>
    <t>• Download updated schedule anytime with current progress</t>
  </si>
  <si>
    <t>SHV</t>
  </si>
  <si>
    <t>Hiremaths</t>
  </si>
  <si>
    <t>STARC</t>
  </si>
  <si>
    <t>PACKAGE • Windows</t>
  </si>
  <si>
    <t>Electricals: Vendor Evaluation(shortlist)</t>
  </si>
  <si>
    <t>Complete</t>
  </si>
  <si>
    <t>Started</t>
  </si>
  <si>
    <t>PACKAGE • Sanitary Fittings</t>
  </si>
  <si>
    <t xml:space="preserve">PACKAGE - FURNITURE </t>
  </si>
  <si>
    <t>Music Room:  Drawings plans &amp; elevations</t>
  </si>
  <si>
    <t>Master Bedroom: Drawings Plans &amp; Elevations</t>
  </si>
  <si>
    <t>Chitra's Room: Drawings Plans &amp; elevations</t>
  </si>
  <si>
    <t>Powder Room: Drawings Plans &amp; Elevations</t>
  </si>
  <si>
    <t>All Bathrooms: Revisions</t>
  </si>
  <si>
    <t>Plumbing: Material delivery to site</t>
  </si>
  <si>
    <t>Kitchen: Drawings Plans &amp; elevations</t>
  </si>
  <si>
    <t>All Bathrooms:  Drawings checking</t>
  </si>
  <si>
    <t>Kitchen: Drawings checking</t>
  </si>
  <si>
    <t>Kitchen: Drawings Revisions</t>
  </si>
  <si>
    <t>Kitchens: Material delivery to site</t>
  </si>
  <si>
    <t>Bathrooms: Finishing Material delivery to site</t>
  </si>
  <si>
    <t>Audio: shop Drawings</t>
  </si>
  <si>
    <t>Audio:  Material delivery to Site</t>
  </si>
  <si>
    <t>Audio:  Drawings checking</t>
  </si>
  <si>
    <t>Audio: Revisions</t>
  </si>
  <si>
    <t>Automation: Material delivery to site</t>
  </si>
  <si>
    <t>HVAC:Material delivery to site</t>
  </si>
  <si>
    <t>Windows: shop drawings</t>
  </si>
  <si>
    <t>EXECUTE • Windows</t>
  </si>
  <si>
    <t>Windows:  Drawings checking</t>
  </si>
  <si>
    <t>Windows: Revisions</t>
  </si>
  <si>
    <t>Windows: Material delivery on site</t>
  </si>
  <si>
    <t>Windows: Fabrication / Off‑site Prep (if applicable)</t>
  </si>
  <si>
    <t>Windows: Installation / Execution</t>
  </si>
  <si>
    <t>Windows: Testing &amp; Commissioning / QA‑QC</t>
  </si>
  <si>
    <t>EXECUTE • Automation + Electricals + lighting</t>
  </si>
  <si>
    <t>AEL: shop drawings</t>
  </si>
  <si>
    <t>AEL:  Drawings checking</t>
  </si>
  <si>
    <t>AEL: Revisions</t>
  </si>
  <si>
    <t>AEL: Fabrication / Off‑site Prep (if applicable)</t>
  </si>
  <si>
    <t>AEL: Testing &amp; Commissioning / QA‑QC</t>
  </si>
  <si>
    <t>HVAC: shop drawings</t>
  </si>
  <si>
    <t>HVAC:  Drawings checking</t>
  </si>
  <si>
    <t>HVAC: Revisions</t>
  </si>
  <si>
    <t>Wall Finishes: Material delivery on site- plaster of paris</t>
  </si>
  <si>
    <t>Wall Finishes: Material delivery on site- Wall paper</t>
  </si>
  <si>
    <t>Wall Finishes: Installation / Execution - Wall paper/paint/limewash</t>
  </si>
  <si>
    <t>Windows: shop drawings fixed furniture: checking</t>
  </si>
  <si>
    <t>Windows: shop drawings fixed furniture: revisions</t>
  </si>
  <si>
    <t>Windows: shop drawings fixed furniture sketches</t>
  </si>
  <si>
    <t>Carpentry: Material delivery at workshop</t>
  </si>
  <si>
    <t>Civil:  Drawings plans &amp; elevations</t>
  </si>
  <si>
    <t>Civil:  Drawings checking</t>
  </si>
  <si>
    <t>Civil:  Drawings Revisions</t>
  </si>
  <si>
    <t>Furnishing: Material delivery  on site</t>
  </si>
  <si>
    <t>Soft Furnishing: Material delivery on site</t>
  </si>
  <si>
    <t>Appliances: Material delivery on site</t>
  </si>
  <si>
    <t>Flooring: drawings plan</t>
  </si>
  <si>
    <t>Flooring:  Drawings checking</t>
  </si>
  <si>
    <t>Flooring: Revisions</t>
  </si>
  <si>
    <t>MaterialDelivery on site</t>
  </si>
  <si>
    <t>Flooring: Material delivery on site</t>
  </si>
  <si>
    <t>Wall Finishes:  Execution - Plaster of Paris works</t>
  </si>
  <si>
    <t>Plumbing: Execution</t>
  </si>
  <si>
    <t>Plumbing: Installation</t>
  </si>
  <si>
    <t>Bathrooms: Execution</t>
  </si>
  <si>
    <t xml:space="preserve">Bathrooms: Installation </t>
  </si>
  <si>
    <t>Audio:  Execution</t>
  </si>
  <si>
    <t>Audio: Installation</t>
  </si>
  <si>
    <t>AEL: Execution</t>
  </si>
  <si>
    <t xml:space="preserve">AEL: Installation </t>
  </si>
  <si>
    <t>HVAC: Execution</t>
  </si>
  <si>
    <t xml:space="preserve">HVAC: Installation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</si>
</sst>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3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32"/>
  <sheetViews>
    <sheetView tabSelected="1" workbookViewId="0">
      <selection activeCell="C128" sqref="C128"/>
    </sheetView>
  </sheetViews>
  <sheetFormatPr baseColWidth="10" defaultColWidth="8.83203125" defaultRowHeight="16" x14ac:dyDescent="0.2"/>
  <cols>
    <col min="2" max="2" width="60.83203125" customWidth="1"/>
    <col min="3" max="3" width="11.5" customWidth="1"/>
    <col min="4" max="4" width="14" customWidth="1"/>
    <col min="5" max="5" width="20.33203125" customWidth="1"/>
    <col min="6" max="6" width="14.1640625" customWidth="1"/>
    <col min="7" max="7" width="15.1640625" customWidth="1"/>
    <col min="8" max="8" width="21.5" customWidth="1"/>
    <col min="9" max="9" width="16.6640625" customWidth="1"/>
    <col min="10" max="10" width="17.1640625" customWidth="1"/>
    <col min="11" max="11" width="13.66406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t="s">
        <v>18</v>
      </c>
      <c r="C2" s="2" t="s">
        <v>19</v>
      </c>
      <c r="D2" s="2" t="s">
        <v>19</v>
      </c>
      <c r="E2" s="3" t="s">
        <v>19</v>
      </c>
      <c r="F2" s="3">
        <v>0</v>
      </c>
      <c r="G2" s="3" t="s">
        <v>19</v>
      </c>
      <c r="H2" t="s">
        <v>19</v>
      </c>
      <c r="J2" t="s">
        <v>21</v>
      </c>
      <c r="K2" t="s">
        <v>22</v>
      </c>
      <c r="L2" t="s">
        <v>19</v>
      </c>
      <c r="M2" t="s">
        <v>19</v>
      </c>
      <c r="N2" s="1" t="s">
        <v>19</v>
      </c>
      <c r="O2" s="1" t="s">
        <v>19</v>
      </c>
      <c r="P2" t="s">
        <v>19</v>
      </c>
      <c r="Q2">
        <v>1</v>
      </c>
      <c r="R2" t="s">
        <v>19</v>
      </c>
    </row>
    <row r="3" spans="1:18" x14ac:dyDescent="0.2">
      <c r="A3">
        <v>2</v>
      </c>
      <c r="B3" t="s">
        <v>23</v>
      </c>
      <c r="C3" s="2">
        <f>DATE(2025,6,1)</f>
        <v>45809</v>
      </c>
      <c r="D3" s="2">
        <f>DATE(2025,6,1)</f>
        <v>45809</v>
      </c>
      <c r="E3" s="3">
        <v>1</v>
      </c>
      <c r="F3" s="3">
        <v>100</v>
      </c>
      <c r="G3" s="3" t="s">
        <v>19</v>
      </c>
      <c r="H3" t="s">
        <v>392</v>
      </c>
      <c r="I3" t="s">
        <v>396</v>
      </c>
      <c r="J3" t="s">
        <v>25</v>
      </c>
      <c r="K3" t="s">
        <v>22</v>
      </c>
      <c r="L3" t="s">
        <v>19</v>
      </c>
      <c r="M3" t="s">
        <v>19</v>
      </c>
      <c r="N3" s="1" t="s">
        <v>19</v>
      </c>
      <c r="O3" s="1" t="s">
        <v>19</v>
      </c>
      <c r="P3" t="s">
        <v>19</v>
      </c>
      <c r="Q3">
        <v>2</v>
      </c>
      <c r="R3" t="s">
        <v>19</v>
      </c>
    </row>
    <row r="4" spans="1:18" x14ac:dyDescent="0.2">
      <c r="A4">
        <v>3</v>
      </c>
      <c r="B4" t="s">
        <v>26</v>
      </c>
      <c r="C4" s="2">
        <f>DATE(2025,6,9)</f>
        <v>45817</v>
      </c>
      <c r="D4" s="2">
        <v>45976</v>
      </c>
      <c r="E4" s="3">
        <v>180</v>
      </c>
      <c r="F4" s="3">
        <v>70</v>
      </c>
      <c r="G4" s="3" t="s">
        <v>27</v>
      </c>
      <c r="H4" t="s">
        <v>391</v>
      </c>
      <c r="I4" t="s">
        <v>397</v>
      </c>
      <c r="J4" t="s">
        <v>25</v>
      </c>
      <c r="K4" t="s">
        <v>22</v>
      </c>
      <c r="L4" t="s">
        <v>19</v>
      </c>
      <c r="M4" t="s">
        <v>19</v>
      </c>
      <c r="N4" s="1" t="s">
        <v>19</v>
      </c>
      <c r="O4" s="1" t="s">
        <v>19</v>
      </c>
      <c r="P4" t="s">
        <v>19</v>
      </c>
      <c r="Q4">
        <v>2</v>
      </c>
      <c r="R4" t="s">
        <v>19</v>
      </c>
    </row>
    <row r="5" spans="1:18" x14ac:dyDescent="0.2">
      <c r="A5">
        <v>4</v>
      </c>
      <c r="B5" t="s">
        <v>28</v>
      </c>
      <c r="C5" s="2">
        <f>DATE(2025,10,11)</f>
        <v>45941</v>
      </c>
      <c r="D5" s="2">
        <v>45996</v>
      </c>
      <c r="E5" s="3">
        <v>7</v>
      </c>
      <c r="F5" s="3">
        <v>10</v>
      </c>
      <c r="G5" s="3" t="s">
        <v>29</v>
      </c>
      <c r="H5" t="s">
        <v>393</v>
      </c>
      <c r="I5" t="s">
        <v>397</v>
      </c>
      <c r="J5" t="s">
        <v>25</v>
      </c>
      <c r="K5" t="s">
        <v>22</v>
      </c>
      <c r="L5" t="s">
        <v>19</v>
      </c>
      <c r="M5" t="s">
        <v>19</v>
      </c>
      <c r="N5" s="1" t="s">
        <v>19</v>
      </c>
      <c r="O5" s="1" t="s">
        <v>19</v>
      </c>
      <c r="P5" t="s">
        <v>19</v>
      </c>
      <c r="Q5">
        <v>2</v>
      </c>
      <c r="R5" t="s">
        <v>19</v>
      </c>
    </row>
    <row r="6" spans="1:18" x14ac:dyDescent="0.2">
      <c r="A6">
        <v>5</v>
      </c>
      <c r="B6" t="s">
        <v>30</v>
      </c>
      <c r="C6" s="2">
        <f>DATE(2025,7,4)</f>
        <v>45842</v>
      </c>
      <c r="D6" s="2">
        <v>45906</v>
      </c>
      <c r="E6" s="3">
        <v>3</v>
      </c>
      <c r="F6" s="3">
        <v>100</v>
      </c>
      <c r="G6" s="3" t="s">
        <v>29</v>
      </c>
      <c r="H6" t="s">
        <v>391</v>
      </c>
      <c r="I6" t="s">
        <v>396</v>
      </c>
      <c r="J6" t="s">
        <v>25</v>
      </c>
      <c r="K6" t="s">
        <v>31</v>
      </c>
      <c r="L6" t="s">
        <v>19</v>
      </c>
      <c r="M6" t="s">
        <v>19</v>
      </c>
      <c r="N6" s="1" t="s">
        <v>19</v>
      </c>
      <c r="O6" s="1" t="s">
        <v>19</v>
      </c>
      <c r="P6" t="s">
        <v>19</v>
      </c>
      <c r="Q6">
        <v>2</v>
      </c>
      <c r="R6" t="s">
        <v>19</v>
      </c>
    </row>
    <row r="7" spans="1:18" x14ac:dyDescent="0.2">
      <c r="A7">
        <v>6</v>
      </c>
      <c r="B7" t="s">
        <v>32</v>
      </c>
      <c r="C7" s="2">
        <f>DATE(2025,10,15)</f>
        <v>45945</v>
      </c>
      <c r="D7" s="2">
        <v>45906</v>
      </c>
      <c r="E7" s="3">
        <v>1</v>
      </c>
      <c r="F7" s="3">
        <v>30</v>
      </c>
      <c r="G7" s="3" t="s">
        <v>33</v>
      </c>
      <c r="H7" t="s">
        <v>392</v>
      </c>
      <c r="I7" t="s">
        <v>397</v>
      </c>
      <c r="J7" t="s">
        <v>21</v>
      </c>
      <c r="K7" t="s">
        <v>31</v>
      </c>
      <c r="L7" t="s">
        <v>19</v>
      </c>
      <c r="M7" t="s">
        <v>19</v>
      </c>
      <c r="N7" s="1" t="s">
        <v>19</v>
      </c>
      <c r="O7" s="1" t="s">
        <v>19</v>
      </c>
      <c r="P7" t="s">
        <v>19</v>
      </c>
      <c r="Q7">
        <v>2</v>
      </c>
      <c r="R7" t="s">
        <v>19</v>
      </c>
    </row>
    <row r="8" spans="1:18" x14ac:dyDescent="0.2">
      <c r="A8">
        <v>7</v>
      </c>
      <c r="B8" t="s">
        <v>35</v>
      </c>
      <c r="C8" s="2" t="s">
        <v>19</v>
      </c>
      <c r="D8" s="2" t="s">
        <v>19</v>
      </c>
      <c r="E8" s="3" t="s">
        <v>19</v>
      </c>
      <c r="F8" s="3">
        <v>0</v>
      </c>
      <c r="G8" s="3" t="s">
        <v>19</v>
      </c>
      <c r="H8" t="s">
        <v>19</v>
      </c>
      <c r="I8" t="s">
        <v>397</v>
      </c>
      <c r="J8" t="s">
        <v>25</v>
      </c>
      <c r="K8" t="s">
        <v>22</v>
      </c>
      <c r="L8" t="s">
        <v>19</v>
      </c>
      <c r="M8" t="s">
        <v>19</v>
      </c>
      <c r="N8" s="1" t="s">
        <v>19</v>
      </c>
      <c r="O8" s="1" t="s">
        <v>19</v>
      </c>
      <c r="P8" t="s">
        <v>19</v>
      </c>
      <c r="Q8">
        <v>1</v>
      </c>
      <c r="R8" t="s">
        <v>19</v>
      </c>
    </row>
    <row r="9" spans="1:18" x14ac:dyDescent="0.2">
      <c r="A9">
        <v>8</v>
      </c>
      <c r="B9" t="s">
        <v>36</v>
      </c>
      <c r="C9" s="2" t="s">
        <v>19</v>
      </c>
      <c r="D9" s="2" t="s">
        <v>19</v>
      </c>
      <c r="E9" s="3" t="s">
        <v>19</v>
      </c>
      <c r="F9" s="3">
        <v>0</v>
      </c>
      <c r="G9" s="3" t="s">
        <v>37</v>
      </c>
      <c r="H9" t="s">
        <v>19</v>
      </c>
      <c r="I9" t="s">
        <v>396</v>
      </c>
      <c r="J9" t="s">
        <v>25</v>
      </c>
      <c r="K9" t="s">
        <v>22</v>
      </c>
      <c r="L9" t="s">
        <v>19</v>
      </c>
      <c r="M9" t="s">
        <v>19</v>
      </c>
      <c r="N9" s="1" t="s">
        <v>19</v>
      </c>
      <c r="O9" s="1" t="s">
        <v>19</v>
      </c>
      <c r="P9" t="s">
        <v>19</v>
      </c>
      <c r="Q9">
        <v>1</v>
      </c>
      <c r="R9" t="s">
        <v>19</v>
      </c>
    </row>
    <row r="10" spans="1:18" x14ac:dyDescent="0.2">
      <c r="A10">
        <v>9</v>
      </c>
      <c r="B10" t="s">
        <v>38</v>
      </c>
      <c r="C10" s="2">
        <f>DATE(2025,6,30)</f>
        <v>45838</v>
      </c>
      <c r="D10" s="2">
        <f>DATE(2025,9,18)</f>
        <v>45918</v>
      </c>
      <c r="E10" s="3">
        <v>3</v>
      </c>
      <c r="F10" s="3">
        <v>0</v>
      </c>
      <c r="G10" s="3" t="s">
        <v>39</v>
      </c>
      <c r="H10" t="s">
        <v>24</v>
      </c>
      <c r="I10" t="s">
        <v>396</v>
      </c>
      <c r="J10" t="s">
        <v>25</v>
      </c>
      <c r="K10" t="s">
        <v>22</v>
      </c>
      <c r="L10" t="s">
        <v>19</v>
      </c>
      <c r="M10" t="s">
        <v>19</v>
      </c>
      <c r="N10" s="1" t="s">
        <v>19</v>
      </c>
      <c r="O10" s="1" t="s">
        <v>19</v>
      </c>
      <c r="P10" t="s">
        <v>19</v>
      </c>
      <c r="Q10">
        <v>2</v>
      </c>
      <c r="R10" t="s">
        <v>19</v>
      </c>
    </row>
    <row r="11" spans="1:18" x14ac:dyDescent="0.2">
      <c r="A11">
        <v>10</v>
      </c>
      <c r="B11" t="s">
        <v>40</v>
      </c>
      <c r="C11" s="2">
        <f>DATE(2025,6,13)</f>
        <v>45821</v>
      </c>
      <c r="D11" s="2">
        <f>DATE(2025,6,13)</f>
        <v>45821</v>
      </c>
      <c r="E11" s="3">
        <v>2</v>
      </c>
      <c r="F11" s="3">
        <v>0</v>
      </c>
      <c r="G11" s="3" t="s">
        <v>41</v>
      </c>
      <c r="H11" t="s">
        <v>24</v>
      </c>
      <c r="I11" t="s">
        <v>20</v>
      </c>
      <c r="J11" t="s">
        <v>25</v>
      </c>
      <c r="K11" t="s">
        <v>22</v>
      </c>
      <c r="L11" t="s">
        <v>19</v>
      </c>
      <c r="M11" t="s">
        <v>19</v>
      </c>
      <c r="N11" s="1" t="s">
        <v>19</v>
      </c>
      <c r="O11" s="1" t="s">
        <v>19</v>
      </c>
      <c r="P11" t="s">
        <v>19</v>
      </c>
      <c r="Q11">
        <v>2</v>
      </c>
      <c r="R11" t="s">
        <v>19</v>
      </c>
    </row>
    <row r="12" spans="1:18" x14ac:dyDescent="0.2">
      <c r="A12">
        <v>11</v>
      </c>
      <c r="B12" t="s">
        <v>42</v>
      </c>
      <c r="C12" s="2">
        <f>DATE(2025,6,25)</f>
        <v>45833</v>
      </c>
      <c r="D12" s="2">
        <f>DATE(2025,6,25)</f>
        <v>45833</v>
      </c>
      <c r="E12" s="3">
        <v>1</v>
      </c>
      <c r="F12" s="3">
        <v>0</v>
      </c>
      <c r="G12" s="3" t="s">
        <v>43</v>
      </c>
      <c r="H12" t="s">
        <v>44</v>
      </c>
      <c r="I12" t="s">
        <v>20</v>
      </c>
      <c r="J12" t="s">
        <v>25</v>
      </c>
      <c r="K12" t="s">
        <v>31</v>
      </c>
      <c r="L12" t="s">
        <v>19</v>
      </c>
      <c r="M12" t="s">
        <v>19</v>
      </c>
      <c r="N12" s="1" t="s">
        <v>19</v>
      </c>
      <c r="O12" s="1" t="s">
        <v>19</v>
      </c>
      <c r="P12" t="s">
        <v>19</v>
      </c>
      <c r="Q12">
        <v>2</v>
      </c>
      <c r="R12" t="s">
        <v>19</v>
      </c>
    </row>
    <row r="13" spans="1:18" x14ac:dyDescent="0.2">
      <c r="A13">
        <v>12</v>
      </c>
      <c r="B13" t="s">
        <v>45</v>
      </c>
      <c r="C13" s="2">
        <f>DATE(2025,9,26)</f>
        <v>45926</v>
      </c>
      <c r="D13" s="2">
        <f>DATE(2025,11,29)</f>
        <v>45990</v>
      </c>
      <c r="E13" s="3">
        <v>1</v>
      </c>
      <c r="F13" s="3">
        <v>0</v>
      </c>
      <c r="G13" s="3" t="s">
        <v>46</v>
      </c>
      <c r="H13" t="s">
        <v>24</v>
      </c>
      <c r="I13" t="s">
        <v>20</v>
      </c>
      <c r="J13" t="s">
        <v>25</v>
      </c>
      <c r="K13" t="s">
        <v>31</v>
      </c>
      <c r="L13" t="s">
        <v>19</v>
      </c>
      <c r="M13" t="s">
        <v>19</v>
      </c>
      <c r="N13" s="1" t="s">
        <v>19</v>
      </c>
      <c r="O13" s="1" t="s">
        <v>19</v>
      </c>
      <c r="P13" t="s">
        <v>19</v>
      </c>
      <c r="Q13">
        <v>2</v>
      </c>
      <c r="R13" t="s">
        <v>19</v>
      </c>
    </row>
    <row r="14" spans="1:18" x14ac:dyDescent="0.2">
      <c r="A14">
        <v>13</v>
      </c>
      <c r="B14" t="s">
        <v>47</v>
      </c>
      <c r="E14" s="3" t="s">
        <v>19</v>
      </c>
      <c r="F14" s="3">
        <v>0</v>
      </c>
      <c r="G14" s="3" t="s">
        <v>37</v>
      </c>
      <c r="H14" t="s">
        <v>19</v>
      </c>
      <c r="I14" t="s">
        <v>20</v>
      </c>
      <c r="J14" t="s">
        <v>25</v>
      </c>
      <c r="K14" t="s">
        <v>22</v>
      </c>
      <c r="L14" t="s">
        <v>19</v>
      </c>
      <c r="M14" t="s">
        <v>19</v>
      </c>
      <c r="N14" s="1" t="s">
        <v>19</v>
      </c>
      <c r="O14" s="1" t="s">
        <v>19</v>
      </c>
      <c r="P14" t="s">
        <v>19</v>
      </c>
      <c r="Q14">
        <v>1</v>
      </c>
      <c r="R14" t="s">
        <v>19</v>
      </c>
    </row>
    <row r="15" spans="1:18" x14ac:dyDescent="0.2">
      <c r="A15">
        <v>14</v>
      </c>
      <c r="B15" t="s">
        <v>395</v>
      </c>
      <c r="C15" s="2">
        <f>DATE(2025,10,20)</f>
        <v>45950</v>
      </c>
      <c r="D15" s="2">
        <v>45951</v>
      </c>
      <c r="E15" s="3">
        <v>3</v>
      </c>
      <c r="F15" s="3">
        <v>0</v>
      </c>
      <c r="G15" s="3" t="s">
        <v>48</v>
      </c>
      <c r="H15" t="s">
        <v>24</v>
      </c>
      <c r="I15" t="s">
        <v>20</v>
      </c>
      <c r="J15" t="s">
        <v>25</v>
      </c>
      <c r="K15" t="s">
        <v>22</v>
      </c>
      <c r="L15" t="s">
        <v>19</v>
      </c>
      <c r="M15" t="s">
        <v>19</v>
      </c>
      <c r="N15" s="1" t="s">
        <v>19</v>
      </c>
      <c r="O15" s="1" t="s">
        <v>19</v>
      </c>
      <c r="P15" t="s">
        <v>19</v>
      </c>
      <c r="Q15">
        <v>2</v>
      </c>
      <c r="R15" t="s">
        <v>19</v>
      </c>
    </row>
    <row r="16" spans="1:18" x14ac:dyDescent="0.2">
      <c r="A16">
        <v>15</v>
      </c>
      <c r="B16" t="s">
        <v>49</v>
      </c>
      <c r="C16" s="2">
        <v>45953</v>
      </c>
      <c r="D16" s="2">
        <v>45955</v>
      </c>
      <c r="E16" s="3">
        <v>2</v>
      </c>
      <c r="F16" s="3">
        <v>0</v>
      </c>
      <c r="G16" s="3" t="s">
        <v>50</v>
      </c>
      <c r="H16" t="s">
        <v>24</v>
      </c>
      <c r="I16" t="s">
        <v>20</v>
      </c>
      <c r="J16" t="s">
        <v>25</v>
      </c>
      <c r="K16" t="s">
        <v>22</v>
      </c>
      <c r="L16" t="s">
        <v>19</v>
      </c>
      <c r="M16" t="s">
        <v>19</v>
      </c>
      <c r="N16" s="1" t="s">
        <v>19</v>
      </c>
      <c r="O16" s="1" t="s">
        <v>19</v>
      </c>
      <c r="P16" t="s">
        <v>19</v>
      </c>
      <c r="Q16">
        <v>2</v>
      </c>
      <c r="R16" t="s">
        <v>19</v>
      </c>
    </row>
    <row r="17" spans="1:18" x14ac:dyDescent="0.2">
      <c r="A17">
        <v>16</v>
      </c>
      <c r="B17" t="s">
        <v>51</v>
      </c>
      <c r="C17" s="2">
        <f>DATE(2025,11,10)</f>
        <v>45971</v>
      </c>
      <c r="D17" s="2">
        <f>DATE(2025,11,10)</f>
        <v>45971</v>
      </c>
      <c r="E17" s="3">
        <v>1</v>
      </c>
      <c r="F17" s="3">
        <v>0</v>
      </c>
      <c r="G17" s="3" t="s">
        <v>52</v>
      </c>
      <c r="H17" t="s">
        <v>44</v>
      </c>
      <c r="I17" t="s">
        <v>20</v>
      </c>
      <c r="J17" t="s">
        <v>25</v>
      </c>
      <c r="K17" t="s">
        <v>31</v>
      </c>
      <c r="L17" t="s">
        <v>19</v>
      </c>
      <c r="M17" t="s">
        <v>19</v>
      </c>
      <c r="N17" s="1" t="s">
        <v>19</v>
      </c>
      <c r="O17" s="1" t="s">
        <v>19</v>
      </c>
      <c r="P17" t="s">
        <v>19</v>
      </c>
      <c r="Q17">
        <v>2</v>
      </c>
      <c r="R17" t="s">
        <v>19</v>
      </c>
    </row>
    <row r="18" spans="1:18" x14ac:dyDescent="0.2">
      <c r="A18">
        <v>17</v>
      </c>
      <c r="B18" t="s">
        <v>53</v>
      </c>
      <c r="C18" s="2">
        <f>DATE(2025,11,17)</f>
        <v>45978</v>
      </c>
      <c r="D18" s="2">
        <f>DATE(2025,11,17)</f>
        <v>45978</v>
      </c>
      <c r="E18" s="3">
        <v>1</v>
      </c>
      <c r="F18" s="3">
        <v>0</v>
      </c>
      <c r="G18" s="3" t="s">
        <v>54</v>
      </c>
      <c r="H18" t="s">
        <v>24</v>
      </c>
      <c r="I18" t="s">
        <v>20</v>
      </c>
      <c r="J18" t="s">
        <v>25</v>
      </c>
      <c r="K18" t="s">
        <v>31</v>
      </c>
      <c r="L18" t="s">
        <v>19</v>
      </c>
      <c r="M18" t="s">
        <v>19</v>
      </c>
      <c r="N18" s="1" t="s">
        <v>19</v>
      </c>
      <c r="O18" s="1" t="s">
        <v>19</v>
      </c>
      <c r="P18" t="s">
        <v>19</v>
      </c>
      <c r="Q18">
        <v>2</v>
      </c>
      <c r="R18" t="s">
        <v>19</v>
      </c>
    </row>
    <row r="19" spans="1:18" x14ac:dyDescent="0.2">
      <c r="A19">
        <v>18</v>
      </c>
      <c r="B19" t="s">
        <v>55</v>
      </c>
      <c r="C19" s="2" t="s">
        <v>19</v>
      </c>
      <c r="D19" s="2" t="s">
        <v>19</v>
      </c>
      <c r="E19" s="3" t="s">
        <v>19</v>
      </c>
      <c r="F19" s="3">
        <v>0</v>
      </c>
      <c r="G19" s="3" t="s">
        <v>37</v>
      </c>
      <c r="H19" t="s">
        <v>19</v>
      </c>
      <c r="I19" t="s">
        <v>20</v>
      </c>
      <c r="J19" t="s">
        <v>25</v>
      </c>
      <c r="K19" t="s">
        <v>22</v>
      </c>
      <c r="L19" t="s">
        <v>19</v>
      </c>
      <c r="M19" t="s">
        <v>19</v>
      </c>
      <c r="N19" s="1" t="s">
        <v>19</v>
      </c>
      <c r="O19" s="1" t="s">
        <v>19</v>
      </c>
      <c r="P19" t="s">
        <v>19</v>
      </c>
      <c r="Q19">
        <v>1</v>
      </c>
      <c r="R19" t="s">
        <v>19</v>
      </c>
    </row>
    <row r="20" spans="1:18" x14ac:dyDescent="0.2">
      <c r="A20">
        <v>19</v>
      </c>
      <c r="B20" t="s">
        <v>56</v>
      </c>
      <c r="C20" s="2">
        <f>DATE(2025,11,8)</f>
        <v>45969</v>
      </c>
      <c r="D20" s="2">
        <v>45880</v>
      </c>
      <c r="E20" s="3">
        <v>3</v>
      </c>
      <c r="F20" s="3">
        <v>0</v>
      </c>
      <c r="G20" s="3" t="s">
        <v>57</v>
      </c>
      <c r="H20" t="s">
        <v>24</v>
      </c>
      <c r="I20" t="s">
        <v>20</v>
      </c>
      <c r="J20" t="s">
        <v>25</v>
      </c>
      <c r="K20" t="s">
        <v>22</v>
      </c>
      <c r="L20" t="s">
        <v>19</v>
      </c>
      <c r="M20" t="s">
        <v>19</v>
      </c>
      <c r="N20" s="1" t="s">
        <v>19</v>
      </c>
      <c r="O20" s="1" t="s">
        <v>19</v>
      </c>
      <c r="P20" t="s">
        <v>19</v>
      </c>
      <c r="Q20">
        <v>2</v>
      </c>
      <c r="R20" t="s">
        <v>19</v>
      </c>
    </row>
    <row r="21" spans="1:18" x14ac:dyDescent="0.2">
      <c r="A21">
        <v>20</v>
      </c>
      <c r="B21" t="s">
        <v>58</v>
      </c>
      <c r="C21" s="2">
        <f>DATE(2025,11,13)</f>
        <v>45974</v>
      </c>
      <c r="D21" s="2">
        <f>DATE(2025,11,13)</f>
        <v>45974</v>
      </c>
      <c r="E21" s="3">
        <v>2</v>
      </c>
      <c r="F21" s="3">
        <v>0</v>
      </c>
      <c r="G21" s="3" t="s">
        <v>59</v>
      </c>
      <c r="H21" t="s">
        <v>24</v>
      </c>
      <c r="I21" t="s">
        <v>20</v>
      </c>
      <c r="J21" t="s">
        <v>25</v>
      </c>
      <c r="K21" t="s">
        <v>22</v>
      </c>
      <c r="L21" t="s">
        <v>19</v>
      </c>
      <c r="M21" t="s">
        <v>19</v>
      </c>
      <c r="N21" s="1" t="s">
        <v>19</v>
      </c>
      <c r="O21" s="1" t="s">
        <v>19</v>
      </c>
      <c r="P21" t="s">
        <v>19</v>
      </c>
      <c r="Q21">
        <v>2</v>
      </c>
      <c r="R21" t="s">
        <v>19</v>
      </c>
    </row>
    <row r="22" spans="1:18" x14ac:dyDescent="0.2">
      <c r="A22">
        <v>21</v>
      </c>
      <c r="B22" t="s">
        <v>60</v>
      </c>
      <c r="C22" s="2">
        <f>DATE(2025,11,15)</f>
        <v>45976</v>
      </c>
      <c r="D22" s="2">
        <f>DATE(2025,11,15)</f>
        <v>45976</v>
      </c>
      <c r="E22" s="3">
        <v>1</v>
      </c>
      <c r="F22" s="3">
        <v>0</v>
      </c>
      <c r="G22" s="3" t="s">
        <v>61</v>
      </c>
      <c r="H22" t="s">
        <v>44</v>
      </c>
      <c r="I22" t="s">
        <v>20</v>
      </c>
      <c r="J22" t="s">
        <v>25</v>
      </c>
      <c r="K22" t="s">
        <v>31</v>
      </c>
      <c r="L22" t="s">
        <v>19</v>
      </c>
      <c r="M22" t="s">
        <v>19</v>
      </c>
      <c r="N22" s="1" t="s">
        <v>19</v>
      </c>
      <c r="O22" s="1" t="s">
        <v>19</v>
      </c>
      <c r="P22" t="s">
        <v>19</v>
      </c>
      <c r="Q22">
        <v>2</v>
      </c>
      <c r="R22" t="s">
        <v>19</v>
      </c>
    </row>
    <row r="23" spans="1:18" x14ac:dyDescent="0.2">
      <c r="A23">
        <v>22</v>
      </c>
      <c r="B23" t="s">
        <v>62</v>
      </c>
      <c r="C23" s="2">
        <f>DATE(2025,11,26)</f>
        <v>45987</v>
      </c>
      <c r="D23" s="2">
        <f>DATE(2025,11,29)</f>
        <v>45990</v>
      </c>
      <c r="E23" s="3">
        <v>1</v>
      </c>
      <c r="F23" s="3">
        <v>0</v>
      </c>
      <c r="G23" s="3" t="s">
        <v>63</v>
      </c>
      <c r="H23" t="s">
        <v>24</v>
      </c>
      <c r="I23" t="s">
        <v>20</v>
      </c>
      <c r="J23" t="s">
        <v>25</v>
      </c>
      <c r="K23" t="s">
        <v>31</v>
      </c>
      <c r="L23" t="s">
        <v>19</v>
      </c>
      <c r="M23" t="s">
        <v>19</v>
      </c>
      <c r="N23" s="1" t="s">
        <v>19</v>
      </c>
      <c r="O23" s="1" t="s">
        <v>19</v>
      </c>
      <c r="P23" t="s">
        <v>19</v>
      </c>
      <c r="Q23">
        <v>2</v>
      </c>
      <c r="R23" t="s">
        <v>19</v>
      </c>
    </row>
    <row r="24" spans="1:18" x14ac:dyDescent="0.2">
      <c r="A24">
        <v>23</v>
      </c>
      <c r="B24" t="s">
        <v>64</v>
      </c>
      <c r="C24" s="2"/>
      <c r="D24" s="2"/>
      <c r="E24" s="3" t="s">
        <v>19</v>
      </c>
      <c r="F24" s="3">
        <v>0</v>
      </c>
      <c r="G24" s="3" t="s">
        <v>37</v>
      </c>
      <c r="H24" t="s">
        <v>19</v>
      </c>
      <c r="I24" t="s">
        <v>20</v>
      </c>
      <c r="J24" t="s">
        <v>25</v>
      </c>
      <c r="K24" t="s">
        <v>22</v>
      </c>
      <c r="L24" t="s">
        <v>19</v>
      </c>
      <c r="M24" t="s">
        <v>19</v>
      </c>
      <c r="N24" s="1" t="s">
        <v>19</v>
      </c>
      <c r="O24" s="1" t="s">
        <v>19</v>
      </c>
      <c r="P24" t="s">
        <v>19</v>
      </c>
      <c r="Q24">
        <v>1</v>
      </c>
      <c r="R24" t="s">
        <v>19</v>
      </c>
    </row>
    <row r="25" spans="1:18" x14ac:dyDescent="0.2">
      <c r="A25">
        <v>24</v>
      </c>
      <c r="B25" t="s">
        <v>65</v>
      </c>
      <c r="C25" s="2">
        <f>DATE(2025,8,25)</f>
        <v>45894</v>
      </c>
      <c r="D25" s="2">
        <f>DATE(2025,8,25)</f>
        <v>45894</v>
      </c>
      <c r="E25" s="3">
        <v>3</v>
      </c>
      <c r="F25" s="3">
        <v>0</v>
      </c>
      <c r="G25" s="3" t="s">
        <v>66</v>
      </c>
      <c r="H25" t="s">
        <v>24</v>
      </c>
      <c r="I25" t="s">
        <v>20</v>
      </c>
      <c r="J25" t="s">
        <v>25</v>
      </c>
      <c r="K25" t="s">
        <v>22</v>
      </c>
      <c r="L25" t="s">
        <v>19</v>
      </c>
      <c r="M25" t="s">
        <v>19</v>
      </c>
      <c r="N25" s="1" t="s">
        <v>19</v>
      </c>
      <c r="O25" s="1" t="s">
        <v>19</v>
      </c>
      <c r="P25" t="s">
        <v>19</v>
      </c>
      <c r="Q25">
        <v>2</v>
      </c>
      <c r="R25" t="s">
        <v>19</v>
      </c>
    </row>
    <row r="26" spans="1:18" x14ac:dyDescent="0.2">
      <c r="A26">
        <v>25</v>
      </c>
      <c r="B26" t="s">
        <v>67</v>
      </c>
      <c r="C26" s="2">
        <f>DATE(2025,8,25)</f>
        <v>45894</v>
      </c>
      <c r="D26" s="2">
        <f>DATE(2025,8,25)</f>
        <v>45894</v>
      </c>
      <c r="E26" s="3">
        <v>2</v>
      </c>
      <c r="F26" s="3">
        <v>0</v>
      </c>
      <c r="G26" s="3" t="s">
        <v>68</v>
      </c>
      <c r="H26" t="s">
        <v>24</v>
      </c>
      <c r="I26" t="s">
        <v>20</v>
      </c>
      <c r="J26" t="s">
        <v>25</v>
      </c>
      <c r="K26" t="s">
        <v>22</v>
      </c>
      <c r="L26" t="s">
        <v>19</v>
      </c>
      <c r="M26" t="s">
        <v>19</v>
      </c>
      <c r="N26" s="1" t="s">
        <v>19</v>
      </c>
      <c r="O26" s="1" t="s">
        <v>19</v>
      </c>
      <c r="P26" t="s">
        <v>19</v>
      </c>
      <c r="Q26">
        <v>2</v>
      </c>
      <c r="R26" t="s">
        <v>19</v>
      </c>
    </row>
    <row r="27" spans="1:18" x14ac:dyDescent="0.2">
      <c r="A27">
        <v>26</v>
      </c>
      <c r="B27" t="s">
        <v>69</v>
      </c>
      <c r="C27" s="2">
        <f>DATE(2025,10,15)</f>
        <v>45945</v>
      </c>
      <c r="D27" s="2">
        <f>DATE(2025,10,15)</f>
        <v>45945</v>
      </c>
      <c r="E27" s="3">
        <v>1</v>
      </c>
      <c r="F27" s="3">
        <v>0</v>
      </c>
      <c r="G27" s="3" t="s">
        <v>70</v>
      </c>
      <c r="H27" t="s">
        <v>44</v>
      </c>
      <c r="I27" t="s">
        <v>20</v>
      </c>
      <c r="J27" t="s">
        <v>25</v>
      </c>
      <c r="K27" t="s">
        <v>31</v>
      </c>
      <c r="L27" t="s">
        <v>19</v>
      </c>
      <c r="M27" t="s">
        <v>19</v>
      </c>
      <c r="N27" s="1" t="s">
        <v>19</v>
      </c>
      <c r="O27" s="1" t="s">
        <v>19</v>
      </c>
      <c r="P27" t="s">
        <v>19</v>
      </c>
      <c r="Q27">
        <v>2</v>
      </c>
      <c r="R27" t="s">
        <v>19</v>
      </c>
    </row>
    <row r="28" spans="1:18" x14ac:dyDescent="0.2">
      <c r="A28">
        <v>27</v>
      </c>
      <c r="B28" t="s">
        <v>71</v>
      </c>
      <c r="C28" s="2">
        <f>DATE(2025,10,30)</f>
        <v>45960</v>
      </c>
      <c r="D28" s="2">
        <f>DATE(2025,10,30)</f>
        <v>45960</v>
      </c>
      <c r="E28" s="3">
        <v>1</v>
      </c>
      <c r="F28" s="3">
        <v>0</v>
      </c>
      <c r="G28" s="3" t="s">
        <v>72</v>
      </c>
      <c r="H28" t="s">
        <v>24</v>
      </c>
      <c r="I28" t="s">
        <v>20</v>
      </c>
      <c r="J28" t="s">
        <v>25</v>
      </c>
      <c r="K28" t="s">
        <v>31</v>
      </c>
      <c r="L28" t="s">
        <v>19</v>
      </c>
      <c r="M28" t="s">
        <v>19</v>
      </c>
      <c r="N28" s="1" t="s">
        <v>19</v>
      </c>
      <c r="O28" s="1" t="s">
        <v>19</v>
      </c>
      <c r="P28" t="s">
        <v>19</v>
      </c>
      <c r="Q28">
        <v>2</v>
      </c>
      <c r="R28" t="s">
        <v>19</v>
      </c>
    </row>
    <row r="29" spans="1:18" x14ac:dyDescent="0.2">
      <c r="A29">
        <v>28</v>
      </c>
      <c r="B29" t="s">
        <v>398</v>
      </c>
      <c r="C29" s="2"/>
      <c r="D29" s="2"/>
      <c r="E29" s="3" t="s">
        <v>19</v>
      </c>
      <c r="F29" s="3">
        <v>0</v>
      </c>
      <c r="G29" s="3" t="s">
        <v>37</v>
      </c>
      <c r="H29" t="s">
        <v>19</v>
      </c>
      <c r="I29" t="s">
        <v>20</v>
      </c>
      <c r="J29" t="s">
        <v>25</v>
      </c>
      <c r="K29" t="s">
        <v>22</v>
      </c>
      <c r="L29" t="s">
        <v>19</v>
      </c>
      <c r="M29" t="s">
        <v>19</v>
      </c>
      <c r="N29" s="1" t="s">
        <v>19</v>
      </c>
      <c r="O29" s="1" t="s">
        <v>19</v>
      </c>
      <c r="P29" t="s">
        <v>19</v>
      </c>
      <c r="Q29">
        <v>1</v>
      </c>
      <c r="R29" t="s">
        <v>19</v>
      </c>
    </row>
    <row r="30" spans="1:18" x14ac:dyDescent="0.2">
      <c r="A30">
        <v>29</v>
      </c>
      <c r="B30" t="s">
        <v>73</v>
      </c>
      <c r="C30" s="2">
        <f>DATE(2025,10,13)</f>
        <v>45943</v>
      </c>
      <c r="D30" s="2">
        <f>DATE(2025,10,13)</f>
        <v>45943</v>
      </c>
      <c r="E30" s="3">
        <v>3</v>
      </c>
      <c r="F30" s="3">
        <v>0</v>
      </c>
      <c r="G30" s="3" t="s">
        <v>74</v>
      </c>
      <c r="H30" t="s">
        <v>24</v>
      </c>
      <c r="I30" t="s">
        <v>20</v>
      </c>
      <c r="J30" t="s">
        <v>25</v>
      </c>
      <c r="K30" t="s">
        <v>22</v>
      </c>
      <c r="L30" t="s">
        <v>19</v>
      </c>
      <c r="M30" t="s">
        <v>19</v>
      </c>
      <c r="N30" s="1" t="s">
        <v>19</v>
      </c>
      <c r="O30" s="1" t="s">
        <v>19</v>
      </c>
      <c r="P30" t="s">
        <v>19</v>
      </c>
      <c r="Q30">
        <v>2</v>
      </c>
      <c r="R30" t="s">
        <v>19</v>
      </c>
    </row>
    <row r="31" spans="1:18" x14ac:dyDescent="0.2">
      <c r="A31">
        <v>30</v>
      </c>
      <c r="B31" t="s">
        <v>75</v>
      </c>
      <c r="C31" s="2">
        <f>DATE(2025,10,15)</f>
        <v>45945</v>
      </c>
      <c r="D31" s="2">
        <f>DATE(2025,10,15)</f>
        <v>45945</v>
      </c>
      <c r="E31" s="3">
        <v>2</v>
      </c>
      <c r="F31" s="3">
        <v>0</v>
      </c>
      <c r="G31" s="3" t="s">
        <v>76</v>
      </c>
      <c r="H31" t="s">
        <v>24</v>
      </c>
      <c r="I31" t="s">
        <v>20</v>
      </c>
      <c r="J31" t="s">
        <v>25</v>
      </c>
      <c r="K31" t="s">
        <v>22</v>
      </c>
      <c r="L31" t="s">
        <v>19</v>
      </c>
      <c r="M31" t="s">
        <v>19</v>
      </c>
      <c r="N31" s="1" t="s">
        <v>19</v>
      </c>
      <c r="O31" s="1" t="s">
        <v>19</v>
      </c>
      <c r="P31" t="s">
        <v>19</v>
      </c>
      <c r="Q31">
        <v>2</v>
      </c>
      <c r="R31" t="s">
        <v>19</v>
      </c>
    </row>
    <row r="32" spans="1:18" x14ac:dyDescent="0.2">
      <c r="A32">
        <v>31</v>
      </c>
      <c r="B32" t="s">
        <v>77</v>
      </c>
      <c r="C32" s="2">
        <f>DATE(2025,11,11)</f>
        <v>45972</v>
      </c>
      <c r="D32" s="2">
        <f>DATE(2025,11,11)</f>
        <v>45972</v>
      </c>
      <c r="E32" s="3">
        <v>1</v>
      </c>
      <c r="F32" s="3">
        <v>0</v>
      </c>
      <c r="G32" s="3" t="s">
        <v>78</v>
      </c>
      <c r="H32" t="s">
        <v>44</v>
      </c>
      <c r="I32" t="s">
        <v>20</v>
      </c>
      <c r="J32" t="s">
        <v>25</v>
      </c>
      <c r="K32" t="s">
        <v>31</v>
      </c>
      <c r="L32" t="s">
        <v>19</v>
      </c>
      <c r="M32" t="s">
        <v>19</v>
      </c>
      <c r="N32" s="1" t="s">
        <v>19</v>
      </c>
      <c r="O32" s="1" t="s">
        <v>19</v>
      </c>
      <c r="P32" t="s">
        <v>19</v>
      </c>
      <c r="Q32">
        <v>2</v>
      </c>
      <c r="R32" t="s">
        <v>19</v>
      </c>
    </row>
    <row r="33" spans="1:18" x14ac:dyDescent="0.2">
      <c r="A33">
        <v>32</v>
      </c>
      <c r="B33" t="s">
        <v>79</v>
      </c>
      <c r="C33" s="2">
        <f>DATE(2025,11,11)</f>
        <v>45972</v>
      </c>
      <c r="D33" s="2">
        <f>DATE(2025,11,11)</f>
        <v>45972</v>
      </c>
      <c r="E33" s="3">
        <v>1</v>
      </c>
      <c r="F33" s="3">
        <v>0</v>
      </c>
      <c r="G33" s="3" t="s">
        <v>80</v>
      </c>
      <c r="H33" t="s">
        <v>24</v>
      </c>
      <c r="I33" t="s">
        <v>20</v>
      </c>
      <c r="J33" t="s">
        <v>25</v>
      </c>
      <c r="K33" t="s">
        <v>31</v>
      </c>
      <c r="L33" t="s">
        <v>19</v>
      </c>
      <c r="M33" t="s">
        <v>19</v>
      </c>
      <c r="N33" s="1" t="s">
        <v>19</v>
      </c>
      <c r="O33" s="1" t="s">
        <v>19</v>
      </c>
      <c r="P33" t="s">
        <v>19</v>
      </c>
      <c r="Q33">
        <v>2</v>
      </c>
      <c r="R33" t="s">
        <v>19</v>
      </c>
    </row>
    <row r="34" spans="1:18" x14ac:dyDescent="0.2">
      <c r="A34">
        <v>33</v>
      </c>
      <c r="B34" t="s">
        <v>81</v>
      </c>
      <c r="C34" s="2"/>
      <c r="D34" s="2"/>
      <c r="E34" s="3" t="s">
        <v>19</v>
      </c>
      <c r="F34" s="3">
        <v>0</v>
      </c>
      <c r="G34" s="3" t="s">
        <v>37</v>
      </c>
      <c r="H34" t="s">
        <v>19</v>
      </c>
      <c r="I34" t="s">
        <v>20</v>
      </c>
      <c r="J34" t="s">
        <v>25</v>
      </c>
      <c r="K34" t="s">
        <v>22</v>
      </c>
      <c r="L34" t="s">
        <v>19</v>
      </c>
      <c r="M34" t="s">
        <v>19</v>
      </c>
      <c r="N34" s="1" t="s">
        <v>19</v>
      </c>
      <c r="O34" s="1" t="s">
        <v>19</v>
      </c>
      <c r="P34" t="s">
        <v>19</v>
      </c>
      <c r="Q34">
        <v>1</v>
      </c>
      <c r="R34" t="s">
        <v>19</v>
      </c>
    </row>
    <row r="35" spans="1:18" x14ac:dyDescent="0.2">
      <c r="A35">
        <v>34</v>
      </c>
      <c r="B35" t="s">
        <v>82</v>
      </c>
      <c r="C35" s="2">
        <f>DATE(2025,8,12)</f>
        <v>45881</v>
      </c>
      <c r="D35" s="2">
        <f>DATE(2025,8,12)</f>
        <v>45881</v>
      </c>
      <c r="E35" s="3">
        <v>3</v>
      </c>
      <c r="F35" s="3">
        <v>0</v>
      </c>
      <c r="G35" s="3" t="s">
        <v>83</v>
      </c>
      <c r="H35" t="s">
        <v>24</v>
      </c>
      <c r="I35" t="s">
        <v>20</v>
      </c>
      <c r="J35" t="s">
        <v>25</v>
      </c>
      <c r="K35" t="s">
        <v>22</v>
      </c>
      <c r="L35" t="s">
        <v>19</v>
      </c>
      <c r="M35" t="s">
        <v>19</v>
      </c>
      <c r="N35" s="1" t="s">
        <v>19</v>
      </c>
      <c r="O35" s="1" t="s">
        <v>19</v>
      </c>
      <c r="P35" t="s">
        <v>19</v>
      </c>
      <c r="Q35">
        <v>2</v>
      </c>
      <c r="R35" t="s">
        <v>19</v>
      </c>
    </row>
    <row r="36" spans="1:18" x14ac:dyDescent="0.2">
      <c r="A36">
        <v>35</v>
      </c>
      <c r="B36" t="s">
        <v>84</v>
      </c>
      <c r="C36" s="2">
        <f>DATE(2025,8,9)</f>
        <v>45878</v>
      </c>
      <c r="D36" s="2">
        <f>DATE(2025,8,9)</f>
        <v>45878</v>
      </c>
      <c r="E36" s="3">
        <v>2</v>
      </c>
      <c r="F36" s="3">
        <v>0</v>
      </c>
      <c r="G36" s="3" t="s">
        <v>85</v>
      </c>
      <c r="H36" t="s">
        <v>24</v>
      </c>
      <c r="I36" t="s">
        <v>20</v>
      </c>
      <c r="J36" t="s">
        <v>25</v>
      </c>
      <c r="K36" t="s">
        <v>22</v>
      </c>
      <c r="L36" t="s">
        <v>19</v>
      </c>
      <c r="M36" t="s">
        <v>19</v>
      </c>
      <c r="N36" s="1" t="s">
        <v>19</v>
      </c>
      <c r="O36" s="1" t="s">
        <v>19</v>
      </c>
      <c r="P36" t="s">
        <v>19</v>
      </c>
      <c r="Q36">
        <v>2</v>
      </c>
      <c r="R36" t="s">
        <v>19</v>
      </c>
    </row>
    <row r="37" spans="1:18" x14ac:dyDescent="0.2">
      <c r="A37">
        <v>36</v>
      </c>
      <c r="B37" t="s">
        <v>86</v>
      </c>
      <c r="C37" s="2">
        <f>DATE(2025,8,9)</f>
        <v>45878</v>
      </c>
      <c r="D37" s="2">
        <f>DATE(2025,8,9)</f>
        <v>45878</v>
      </c>
      <c r="E37" s="3">
        <v>1</v>
      </c>
      <c r="F37" s="3">
        <v>0</v>
      </c>
      <c r="G37" s="3" t="s">
        <v>87</v>
      </c>
      <c r="H37" t="s">
        <v>44</v>
      </c>
      <c r="I37" t="s">
        <v>20</v>
      </c>
      <c r="J37" t="s">
        <v>25</v>
      </c>
      <c r="K37" t="s">
        <v>31</v>
      </c>
      <c r="L37" t="s">
        <v>19</v>
      </c>
      <c r="M37" t="s">
        <v>19</v>
      </c>
      <c r="N37" s="1" t="s">
        <v>19</v>
      </c>
      <c r="O37" s="1" t="s">
        <v>19</v>
      </c>
      <c r="P37" t="s">
        <v>19</v>
      </c>
      <c r="Q37">
        <v>2</v>
      </c>
      <c r="R37" t="s">
        <v>19</v>
      </c>
    </row>
    <row r="38" spans="1:18" x14ac:dyDescent="0.2">
      <c r="A38">
        <v>37</v>
      </c>
      <c r="B38" t="s">
        <v>88</v>
      </c>
      <c r="C38" s="2">
        <f>DATE(2025,8,21)</f>
        <v>45890</v>
      </c>
      <c r="D38" s="2">
        <f>DATE(2025,8,21)</f>
        <v>45890</v>
      </c>
      <c r="E38" s="3">
        <v>1</v>
      </c>
      <c r="F38" s="3">
        <v>0</v>
      </c>
      <c r="G38" s="3" t="s">
        <v>89</v>
      </c>
      <c r="H38" t="s">
        <v>24</v>
      </c>
      <c r="I38" t="s">
        <v>20</v>
      </c>
      <c r="J38" t="s">
        <v>25</v>
      </c>
      <c r="K38" t="s">
        <v>31</v>
      </c>
      <c r="L38" t="s">
        <v>19</v>
      </c>
      <c r="M38" t="s">
        <v>19</v>
      </c>
      <c r="N38" s="1" t="s">
        <v>19</v>
      </c>
      <c r="O38" s="1" t="s">
        <v>19</v>
      </c>
      <c r="P38" t="s">
        <v>19</v>
      </c>
      <c r="Q38">
        <v>2</v>
      </c>
      <c r="R38" t="s">
        <v>19</v>
      </c>
    </row>
    <row r="39" spans="1:18" x14ac:dyDescent="0.2">
      <c r="A39">
        <v>38</v>
      </c>
      <c r="B39" t="s">
        <v>90</v>
      </c>
      <c r="C39" s="2"/>
      <c r="D39" s="2"/>
      <c r="E39" s="3" t="s">
        <v>19</v>
      </c>
      <c r="F39" s="3">
        <v>0</v>
      </c>
      <c r="G39" s="3" t="s">
        <v>37</v>
      </c>
      <c r="H39" t="s">
        <v>19</v>
      </c>
      <c r="I39" t="s">
        <v>20</v>
      </c>
      <c r="J39" t="s">
        <v>25</v>
      </c>
      <c r="K39" t="s">
        <v>22</v>
      </c>
      <c r="L39" t="s">
        <v>19</v>
      </c>
      <c r="M39" t="s">
        <v>19</v>
      </c>
      <c r="N39" s="1" t="s">
        <v>19</v>
      </c>
      <c r="O39" s="1" t="s">
        <v>19</v>
      </c>
      <c r="P39" t="s">
        <v>19</v>
      </c>
      <c r="Q39">
        <v>1</v>
      </c>
      <c r="R39" t="s">
        <v>19</v>
      </c>
    </row>
    <row r="40" spans="1:18" x14ac:dyDescent="0.2">
      <c r="A40">
        <v>39</v>
      </c>
      <c r="B40" t="s">
        <v>91</v>
      </c>
      <c r="C40" s="2">
        <f>DATE(2025,10,11)</f>
        <v>45941</v>
      </c>
      <c r="D40" s="2">
        <f>DATE(2025,10,11)</f>
        <v>45941</v>
      </c>
      <c r="E40" s="3">
        <v>3</v>
      </c>
      <c r="F40" s="3">
        <v>0</v>
      </c>
      <c r="G40" s="3" t="s">
        <v>92</v>
      </c>
      <c r="H40" t="s">
        <v>24</v>
      </c>
      <c r="I40" t="s">
        <v>20</v>
      </c>
      <c r="J40" t="s">
        <v>25</v>
      </c>
      <c r="K40" t="s">
        <v>22</v>
      </c>
      <c r="L40" t="s">
        <v>19</v>
      </c>
      <c r="M40" t="s">
        <v>19</v>
      </c>
      <c r="N40" s="1" t="s">
        <v>19</v>
      </c>
      <c r="O40" s="1" t="s">
        <v>19</v>
      </c>
      <c r="P40" t="s">
        <v>19</v>
      </c>
      <c r="Q40">
        <v>2</v>
      </c>
      <c r="R40" t="s">
        <v>19</v>
      </c>
    </row>
    <row r="41" spans="1:18" x14ac:dyDescent="0.2">
      <c r="A41">
        <v>40</v>
      </c>
      <c r="B41" t="s">
        <v>93</v>
      </c>
      <c r="C41" s="2">
        <f>DATE(2025,10,11)</f>
        <v>45941</v>
      </c>
      <c r="D41" s="2">
        <f>DATE(2025,10,11)</f>
        <v>45941</v>
      </c>
      <c r="E41" s="3">
        <v>2</v>
      </c>
      <c r="F41" s="3">
        <v>0</v>
      </c>
      <c r="G41" s="3" t="s">
        <v>94</v>
      </c>
      <c r="H41" t="s">
        <v>24</v>
      </c>
      <c r="I41" t="s">
        <v>20</v>
      </c>
      <c r="J41" t="s">
        <v>25</v>
      </c>
      <c r="K41" t="s">
        <v>22</v>
      </c>
      <c r="L41" t="s">
        <v>19</v>
      </c>
      <c r="M41" t="s">
        <v>19</v>
      </c>
      <c r="N41" s="1" t="s">
        <v>19</v>
      </c>
      <c r="O41" s="1" t="s">
        <v>19</v>
      </c>
      <c r="P41" t="s">
        <v>19</v>
      </c>
      <c r="Q41">
        <v>2</v>
      </c>
      <c r="R41" t="s">
        <v>19</v>
      </c>
    </row>
    <row r="42" spans="1:18" x14ac:dyDescent="0.2">
      <c r="A42">
        <v>41</v>
      </c>
      <c r="B42" t="s">
        <v>95</v>
      </c>
      <c r="C42" s="2">
        <f>DATE(2025,10,17)</f>
        <v>45947</v>
      </c>
      <c r="D42" s="2">
        <f>DATE(2025,10,17)</f>
        <v>45947</v>
      </c>
      <c r="E42" s="3">
        <v>1</v>
      </c>
      <c r="F42" s="3">
        <v>0</v>
      </c>
      <c r="G42" s="3" t="s">
        <v>96</v>
      </c>
      <c r="H42" t="s">
        <v>44</v>
      </c>
      <c r="I42" t="s">
        <v>20</v>
      </c>
      <c r="J42" t="s">
        <v>25</v>
      </c>
      <c r="K42" t="s">
        <v>31</v>
      </c>
      <c r="L42" t="s">
        <v>19</v>
      </c>
      <c r="M42" t="s">
        <v>19</v>
      </c>
      <c r="N42" s="1" t="s">
        <v>19</v>
      </c>
      <c r="O42" s="1" t="s">
        <v>19</v>
      </c>
      <c r="P42" t="s">
        <v>19</v>
      </c>
      <c r="Q42">
        <v>2</v>
      </c>
      <c r="R42" t="s">
        <v>19</v>
      </c>
    </row>
    <row r="43" spans="1:18" x14ac:dyDescent="0.2">
      <c r="A43">
        <v>42</v>
      </c>
      <c r="B43" t="s">
        <v>97</v>
      </c>
      <c r="C43" s="5">
        <f>DATE(2025,11,17)</f>
        <v>45978</v>
      </c>
      <c r="D43" s="2">
        <f>DATE(2025,11,17)</f>
        <v>45978</v>
      </c>
      <c r="E43" s="3">
        <v>1</v>
      </c>
      <c r="F43" s="3">
        <v>0</v>
      </c>
      <c r="G43" s="3" t="s">
        <v>98</v>
      </c>
      <c r="H43" t="s">
        <v>24</v>
      </c>
      <c r="I43" t="s">
        <v>20</v>
      </c>
      <c r="J43" t="s">
        <v>25</v>
      </c>
      <c r="K43" t="s">
        <v>31</v>
      </c>
      <c r="L43" t="s">
        <v>19</v>
      </c>
      <c r="M43" t="s">
        <v>19</v>
      </c>
      <c r="N43" s="1" t="s">
        <v>19</v>
      </c>
      <c r="O43" s="1" t="s">
        <v>19</v>
      </c>
      <c r="P43" t="s">
        <v>19</v>
      </c>
      <c r="Q43">
        <v>2</v>
      </c>
      <c r="R43" t="s">
        <v>19</v>
      </c>
    </row>
    <row r="44" spans="1:18" x14ac:dyDescent="0.2">
      <c r="A44">
        <v>43</v>
      </c>
      <c r="B44" t="s">
        <v>99</v>
      </c>
      <c r="C44" s="2"/>
      <c r="D44" s="2"/>
      <c r="E44" s="3" t="s">
        <v>19</v>
      </c>
      <c r="F44" s="3">
        <v>0</v>
      </c>
      <c r="G44" s="3" t="s">
        <v>37</v>
      </c>
      <c r="H44" t="s">
        <v>19</v>
      </c>
      <c r="I44" t="s">
        <v>20</v>
      </c>
      <c r="J44" t="s">
        <v>25</v>
      </c>
      <c r="K44" t="s">
        <v>22</v>
      </c>
      <c r="L44" t="s">
        <v>19</v>
      </c>
      <c r="M44" t="s">
        <v>19</v>
      </c>
      <c r="N44" s="1" t="s">
        <v>19</v>
      </c>
      <c r="O44" s="1" t="s">
        <v>19</v>
      </c>
      <c r="P44" t="s">
        <v>19</v>
      </c>
      <c r="Q44">
        <v>1</v>
      </c>
      <c r="R44" t="s">
        <v>19</v>
      </c>
    </row>
    <row r="45" spans="1:18" x14ac:dyDescent="0.2">
      <c r="A45">
        <v>44</v>
      </c>
      <c r="B45" t="s">
        <v>100</v>
      </c>
      <c r="C45" s="2">
        <f>DATE(2025,8,26)</f>
        <v>45895</v>
      </c>
      <c r="D45" s="2">
        <f>DATE(2025,8,26)</f>
        <v>45895</v>
      </c>
      <c r="E45" s="3">
        <v>3</v>
      </c>
      <c r="F45" s="3">
        <v>0</v>
      </c>
      <c r="G45" s="3" t="s">
        <v>101</v>
      </c>
      <c r="H45" t="s">
        <v>24</v>
      </c>
      <c r="I45" t="s">
        <v>20</v>
      </c>
      <c r="J45" t="s">
        <v>25</v>
      </c>
      <c r="K45" t="s">
        <v>22</v>
      </c>
      <c r="L45" t="s">
        <v>19</v>
      </c>
      <c r="M45" t="s">
        <v>19</v>
      </c>
      <c r="N45" s="1" t="s">
        <v>19</v>
      </c>
      <c r="O45" s="1" t="s">
        <v>19</v>
      </c>
      <c r="P45" t="s">
        <v>19</v>
      </c>
      <c r="Q45">
        <v>2</v>
      </c>
      <c r="R45" t="s">
        <v>19</v>
      </c>
    </row>
    <row r="46" spans="1:18" x14ac:dyDescent="0.2">
      <c r="A46">
        <v>45</v>
      </c>
      <c r="B46" t="s">
        <v>102</v>
      </c>
      <c r="C46" s="2">
        <f>DATE(2025,10,9)</f>
        <v>45939</v>
      </c>
      <c r="D46" s="2">
        <f>DATE(2025,10,9)</f>
        <v>45939</v>
      </c>
      <c r="E46" s="3">
        <v>2</v>
      </c>
      <c r="F46" s="3">
        <v>0</v>
      </c>
      <c r="G46" s="3" t="s">
        <v>103</v>
      </c>
      <c r="H46" t="s">
        <v>24</v>
      </c>
      <c r="I46" t="s">
        <v>20</v>
      </c>
      <c r="J46" t="s">
        <v>25</v>
      </c>
      <c r="K46" t="s">
        <v>22</v>
      </c>
      <c r="L46" t="s">
        <v>19</v>
      </c>
      <c r="M46" t="s">
        <v>19</v>
      </c>
      <c r="N46" s="1" t="s">
        <v>19</v>
      </c>
      <c r="O46" s="1" t="s">
        <v>19</v>
      </c>
      <c r="P46" t="s">
        <v>19</v>
      </c>
      <c r="Q46">
        <v>2</v>
      </c>
      <c r="R46" t="s">
        <v>19</v>
      </c>
    </row>
    <row r="47" spans="1:18" x14ac:dyDescent="0.2">
      <c r="A47">
        <v>46</v>
      </c>
      <c r="B47" t="s">
        <v>104</v>
      </c>
      <c r="C47" s="4">
        <f>DATE(2025,10,10)</f>
        <v>45940</v>
      </c>
      <c r="D47" s="2">
        <f>DATE(2025,10,10)</f>
        <v>45940</v>
      </c>
      <c r="E47" s="3">
        <v>1</v>
      </c>
      <c r="F47" s="3">
        <v>0</v>
      </c>
      <c r="G47" s="3" t="s">
        <v>105</v>
      </c>
      <c r="H47" t="s">
        <v>44</v>
      </c>
      <c r="I47" t="s">
        <v>20</v>
      </c>
      <c r="J47" t="s">
        <v>25</v>
      </c>
      <c r="K47" t="s">
        <v>31</v>
      </c>
      <c r="L47" t="s">
        <v>19</v>
      </c>
      <c r="M47" t="s">
        <v>19</v>
      </c>
      <c r="N47" s="1" t="s">
        <v>19</v>
      </c>
      <c r="O47" s="1" t="s">
        <v>19</v>
      </c>
      <c r="P47" t="s">
        <v>19</v>
      </c>
      <c r="Q47">
        <v>2</v>
      </c>
      <c r="R47" t="s">
        <v>19</v>
      </c>
    </row>
    <row r="48" spans="1:18" x14ac:dyDescent="0.2">
      <c r="A48">
        <v>47</v>
      </c>
      <c r="B48" t="s">
        <v>106</v>
      </c>
      <c r="C48" s="5">
        <f>DATE(2025,11,17)</f>
        <v>45978</v>
      </c>
      <c r="D48" s="2">
        <f>DATE(2025,11,17)</f>
        <v>45978</v>
      </c>
      <c r="E48" s="3">
        <v>1</v>
      </c>
      <c r="F48" s="3">
        <v>0</v>
      </c>
      <c r="G48" s="3" t="s">
        <v>107</v>
      </c>
      <c r="H48" t="s">
        <v>24</v>
      </c>
      <c r="I48" t="s">
        <v>20</v>
      </c>
      <c r="J48" t="s">
        <v>25</v>
      </c>
      <c r="K48" t="s">
        <v>31</v>
      </c>
      <c r="L48" t="s">
        <v>19</v>
      </c>
      <c r="M48" t="s">
        <v>19</v>
      </c>
      <c r="N48" s="1" t="s">
        <v>19</v>
      </c>
      <c r="O48" s="1" t="s">
        <v>19</v>
      </c>
      <c r="P48" t="s">
        <v>19</v>
      </c>
      <c r="Q48">
        <v>2</v>
      </c>
      <c r="R48" t="s">
        <v>19</v>
      </c>
    </row>
    <row r="49" spans="1:18" x14ac:dyDescent="0.2">
      <c r="A49">
        <v>48</v>
      </c>
      <c r="B49" t="s">
        <v>108</v>
      </c>
      <c r="C49" s="2"/>
      <c r="D49" s="2"/>
      <c r="E49" s="3" t="s">
        <v>19</v>
      </c>
      <c r="F49" s="3">
        <v>0</v>
      </c>
      <c r="G49" s="3" t="s">
        <v>37</v>
      </c>
      <c r="H49" t="s">
        <v>19</v>
      </c>
      <c r="I49" t="s">
        <v>20</v>
      </c>
      <c r="J49" t="s">
        <v>25</v>
      </c>
      <c r="K49" t="s">
        <v>22</v>
      </c>
      <c r="L49" t="s">
        <v>19</v>
      </c>
      <c r="M49" t="s">
        <v>19</v>
      </c>
      <c r="N49" s="1" t="s">
        <v>19</v>
      </c>
      <c r="O49" s="1" t="s">
        <v>19</v>
      </c>
      <c r="P49" t="s">
        <v>19</v>
      </c>
      <c r="Q49">
        <v>1</v>
      </c>
      <c r="R49" t="s">
        <v>19</v>
      </c>
    </row>
    <row r="50" spans="1:18" x14ac:dyDescent="0.2">
      <c r="A50">
        <v>49</v>
      </c>
      <c r="B50" t="s">
        <v>109</v>
      </c>
      <c r="C50" s="5">
        <f>DATE(2025,8,26)</f>
        <v>45895</v>
      </c>
      <c r="D50" s="2">
        <f>DATE(2025,8,26)</f>
        <v>45895</v>
      </c>
      <c r="E50" s="3">
        <v>3</v>
      </c>
      <c r="F50" s="3">
        <v>0</v>
      </c>
      <c r="G50" s="3" t="s">
        <v>110</v>
      </c>
      <c r="H50" t="s">
        <v>24</v>
      </c>
      <c r="I50" t="s">
        <v>20</v>
      </c>
      <c r="J50" t="s">
        <v>25</v>
      </c>
      <c r="K50" t="s">
        <v>22</v>
      </c>
      <c r="L50" t="s">
        <v>19</v>
      </c>
      <c r="M50" t="s">
        <v>19</v>
      </c>
      <c r="N50" s="1" t="s">
        <v>19</v>
      </c>
      <c r="O50" s="1" t="s">
        <v>19</v>
      </c>
      <c r="P50" t="s">
        <v>19</v>
      </c>
      <c r="Q50">
        <v>2</v>
      </c>
      <c r="R50" t="s">
        <v>19</v>
      </c>
    </row>
    <row r="51" spans="1:18" x14ac:dyDescent="0.2">
      <c r="A51">
        <v>50</v>
      </c>
      <c r="B51" t="s">
        <v>111</v>
      </c>
      <c r="C51" s="5">
        <f>DATE(2025,10,9)</f>
        <v>45939</v>
      </c>
      <c r="D51" s="2">
        <f>DATE(2025,10,9)</f>
        <v>45939</v>
      </c>
      <c r="E51" s="3">
        <v>2</v>
      </c>
      <c r="F51" s="3">
        <v>0</v>
      </c>
      <c r="G51" s="3" t="s">
        <v>112</v>
      </c>
      <c r="H51" t="s">
        <v>24</v>
      </c>
      <c r="I51" t="s">
        <v>20</v>
      </c>
      <c r="J51" t="s">
        <v>25</v>
      </c>
      <c r="K51" t="s">
        <v>22</v>
      </c>
      <c r="L51" t="s">
        <v>19</v>
      </c>
      <c r="M51" t="s">
        <v>19</v>
      </c>
      <c r="N51" s="1" t="s">
        <v>19</v>
      </c>
      <c r="O51" s="1" t="s">
        <v>19</v>
      </c>
      <c r="P51" t="s">
        <v>19</v>
      </c>
      <c r="Q51">
        <v>2</v>
      </c>
      <c r="R51" t="s">
        <v>19</v>
      </c>
    </row>
    <row r="52" spans="1:18" x14ac:dyDescent="0.2">
      <c r="A52">
        <v>51</v>
      </c>
      <c r="B52" t="s">
        <v>113</v>
      </c>
      <c r="C52" s="5">
        <f>DATE(2025,10,10)</f>
        <v>45940</v>
      </c>
      <c r="D52" s="2">
        <f>DATE(2025,10,10)</f>
        <v>45940</v>
      </c>
      <c r="E52" s="3">
        <v>1</v>
      </c>
      <c r="F52" s="3">
        <v>0</v>
      </c>
      <c r="G52" s="3" t="s">
        <v>114</v>
      </c>
      <c r="H52" t="s">
        <v>44</v>
      </c>
      <c r="I52" t="s">
        <v>20</v>
      </c>
      <c r="J52" t="s">
        <v>25</v>
      </c>
      <c r="K52" t="s">
        <v>31</v>
      </c>
      <c r="L52" t="s">
        <v>19</v>
      </c>
      <c r="M52" t="s">
        <v>19</v>
      </c>
      <c r="N52" s="1" t="s">
        <v>19</v>
      </c>
      <c r="O52" s="1" t="s">
        <v>19</v>
      </c>
      <c r="P52" t="s">
        <v>19</v>
      </c>
      <c r="Q52">
        <v>2</v>
      </c>
      <c r="R52" t="s">
        <v>19</v>
      </c>
    </row>
    <row r="53" spans="1:18" x14ac:dyDescent="0.2">
      <c r="A53">
        <v>52</v>
      </c>
      <c r="B53" t="s">
        <v>115</v>
      </c>
      <c r="C53" s="5">
        <f>DATE(2025,11,17)</f>
        <v>45978</v>
      </c>
      <c r="D53" s="2">
        <f>DATE(2025,11,22)</f>
        <v>45983</v>
      </c>
      <c r="E53" s="3">
        <v>1</v>
      </c>
      <c r="F53" s="3">
        <v>0</v>
      </c>
      <c r="G53" s="3" t="s">
        <v>116</v>
      </c>
      <c r="H53" t="s">
        <v>24</v>
      </c>
      <c r="I53" t="s">
        <v>20</v>
      </c>
      <c r="J53" t="s">
        <v>25</v>
      </c>
      <c r="K53" t="s">
        <v>31</v>
      </c>
      <c r="L53" t="s">
        <v>19</v>
      </c>
      <c r="M53" t="s">
        <v>19</v>
      </c>
      <c r="N53" s="1" t="s">
        <v>19</v>
      </c>
      <c r="O53" s="1" t="s">
        <v>19</v>
      </c>
      <c r="P53" t="s">
        <v>19</v>
      </c>
      <c r="Q53">
        <v>2</v>
      </c>
      <c r="R53" t="s">
        <v>19</v>
      </c>
    </row>
    <row r="54" spans="1:18" x14ac:dyDescent="0.2">
      <c r="A54">
        <v>53</v>
      </c>
      <c r="B54" t="s">
        <v>394</v>
      </c>
      <c r="C54" s="2"/>
      <c r="D54" s="2"/>
      <c r="E54" s="3" t="s">
        <v>19</v>
      </c>
      <c r="F54" s="3">
        <v>0</v>
      </c>
      <c r="G54" s="3" t="s">
        <v>37</v>
      </c>
      <c r="H54" t="s">
        <v>19</v>
      </c>
      <c r="I54" t="s">
        <v>20</v>
      </c>
      <c r="J54" t="s">
        <v>25</v>
      </c>
      <c r="K54" t="s">
        <v>22</v>
      </c>
      <c r="L54" t="s">
        <v>19</v>
      </c>
      <c r="M54" t="s">
        <v>19</v>
      </c>
      <c r="N54" s="1" t="s">
        <v>19</v>
      </c>
      <c r="O54" s="1" t="s">
        <v>19</v>
      </c>
      <c r="P54" t="s">
        <v>19</v>
      </c>
      <c r="Q54">
        <v>1</v>
      </c>
      <c r="R54" t="s">
        <v>19</v>
      </c>
    </row>
    <row r="55" spans="1:18" x14ac:dyDescent="0.2">
      <c r="A55">
        <v>54</v>
      </c>
      <c r="B55" t="s">
        <v>117</v>
      </c>
      <c r="C55" s="2">
        <f>DATE(2025,8,26)</f>
        <v>45895</v>
      </c>
      <c r="D55" s="2">
        <f>DATE(2025,8,26)</f>
        <v>45895</v>
      </c>
      <c r="E55" s="3">
        <v>3</v>
      </c>
      <c r="F55" s="3">
        <v>0</v>
      </c>
      <c r="G55" s="3" t="s">
        <v>118</v>
      </c>
      <c r="H55" t="s">
        <v>24</v>
      </c>
      <c r="I55" t="s">
        <v>20</v>
      </c>
      <c r="J55" t="s">
        <v>25</v>
      </c>
      <c r="K55" t="s">
        <v>22</v>
      </c>
      <c r="L55" t="s">
        <v>19</v>
      </c>
      <c r="M55" t="s">
        <v>19</v>
      </c>
      <c r="N55" s="1" t="s">
        <v>19</v>
      </c>
      <c r="O55" s="1" t="s">
        <v>19</v>
      </c>
      <c r="P55" t="s">
        <v>19</v>
      </c>
      <c r="Q55">
        <v>2</v>
      </c>
      <c r="R55" t="s">
        <v>19</v>
      </c>
    </row>
    <row r="56" spans="1:18" x14ac:dyDescent="0.2">
      <c r="A56">
        <v>55</v>
      </c>
      <c r="B56" t="s">
        <v>119</v>
      </c>
      <c r="C56" s="2">
        <f>DATE(2025,8,28)</f>
        <v>45897</v>
      </c>
      <c r="D56" s="2">
        <f>DATE(2025,8,28)</f>
        <v>45897</v>
      </c>
      <c r="E56" s="3">
        <v>2</v>
      </c>
      <c r="F56" s="3">
        <v>0</v>
      </c>
      <c r="G56" s="3" t="s">
        <v>120</v>
      </c>
      <c r="H56" t="s">
        <v>24</v>
      </c>
      <c r="I56" t="s">
        <v>20</v>
      </c>
      <c r="J56" t="s">
        <v>25</v>
      </c>
      <c r="K56" t="s">
        <v>22</v>
      </c>
      <c r="L56" t="s">
        <v>19</v>
      </c>
      <c r="M56" t="s">
        <v>19</v>
      </c>
      <c r="N56" s="1" t="s">
        <v>19</v>
      </c>
      <c r="O56" s="1" t="s">
        <v>19</v>
      </c>
      <c r="P56" t="s">
        <v>19</v>
      </c>
      <c r="Q56">
        <v>2</v>
      </c>
      <c r="R56" t="s">
        <v>19</v>
      </c>
    </row>
    <row r="57" spans="1:18" x14ac:dyDescent="0.2">
      <c r="A57">
        <v>56</v>
      </c>
      <c r="B57" t="s">
        <v>121</v>
      </c>
      <c r="C57" s="2">
        <f>DATE(2025,10,24)</f>
        <v>45954</v>
      </c>
      <c r="D57" s="2">
        <f>DATE(2025,10,24)</f>
        <v>45954</v>
      </c>
      <c r="E57" s="3">
        <v>1</v>
      </c>
      <c r="F57" s="3">
        <v>0</v>
      </c>
      <c r="G57" s="3" t="s">
        <v>122</v>
      </c>
      <c r="H57" t="s">
        <v>44</v>
      </c>
      <c r="I57" t="s">
        <v>20</v>
      </c>
      <c r="J57" t="s">
        <v>25</v>
      </c>
      <c r="K57" t="s">
        <v>31</v>
      </c>
      <c r="L57" t="s">
        <v>19</v>
      </c>
      <c r="M57" t="s">
        <v>19</v>
      </c>
      <c r="N57" s="1" t="s">
        <v>19</v>
      </c>
      <c r="O57" s="1" t="s">
        <v>19</v>
      </c>
      <c r="P57" t="s">
        <v>19</v>
      </c>
      <c r="Q57">
        <v>2</v>
      </c>
      <c r="R57" t="s">
        <v>19</v>
      </c>
    </row>
    <row r="58" spans="1:18" x14ac:dyDescent="0.2">
      <c r="A58">
        <v>57</v>
      </c>
      <c r="B58" t="s">
        <v>123</v>
      </c>
      <c r="C58" s="4">
        <f>DATE(2025,11,17)</f>
        <v>45978</v>
      </c>
      <c r="D58" s="2">
        <f>DATE(2025,11,17)</f>
        <v>45978</v>
      </c>
      <c r="E58" s="3">
        <v>1</v>
      </c>
      <c r="F58" s="3">
        <v>0</v>
      </c>
      <c r="G58" s="3" t="s">
        <v>124</v>
      </c>
      <c r="H58" t="s">
        <v>24</v>
      </c>
      <c r="I58" t="s">
        <v>20</v>
      </c>
      <c r="J58" t="s">
        <v>25</v>
      </c>
      <c r="K58" t="s">
        <v>31</v>
      </c>
      <c r="L58" t="s">
        <v>19</v>
      </c>
      <c r="M58" t="s">
        <v>19</v>
      </c>
      <c r="N58" s="1" t="s">
        <v>19</v>
      </c>
      <c r="O58" s="1" t="s">
        <v>19</v>
      </c>
      <c r="P58" t="s">
        <v>19</v>
      </c>
      <c r="Q58">
        <v>2</v>
      </c>
      <c r="R58" t="s">
        <v>19</v>
      </c>
    </row>
    <row r="59" spans="1:18" x14ac:dyDescent="0.2">
      <c r="A59">
        <v>58</v>
      </c>
      <c r="B59" t="s">
        <v>125</v>
      </c>
      <c r="C59" s="2"/>
      <c r="D59" s="2"/>
      <c r="E59" s="3" t="s">
        <v>19</v>
      </c>
      <c r="F59" s="3">
        <v>0</v>
      </c>
      <c r="G59" s="3" t="s">
        <v>37</v>
      </c>
      <c r="H59" t="s">
        <v>19</v>
      </c>
      <c r="I59" t="s">
        <v>20</v>
      </c>
      <c r="J59" t="s">
        <v>25</v>
      </c>
      <c r="K59" t="s">
        <v>22</v>
      </c>
      <c r="L59" t="s">
        <v>19</v>
      </c>
      <c r="M59" t="s">
        <v>19</v>
      </c>
      <c r="N59" s="1" t="s">
        <v>19</v>
      </c>
      <c r="O59" s="1" t="s">
        <v>19</v>
      </c>
      <c r="P59" t="s">
        <v>19</v>
      </c>
      <c r="Q59">
        <v>1</v>
      </c>
      <c r="R59" t="s">
        <v>19</v>
      </c>
    </row>
    <row r="60" spans="1:18" x14ac:dyDescent="0.2">
      <c r="A60">
        <v>59</v>
      </c>
      <c r="B60" t="s">
        <v>126</v>
      </c>
      <c r="C60" s="2">
        <v>45877</v>
      </c>
      <c r="D60" s="2">
        <v>45877</v>
      </c>
      <c r="E60" s="3">
        <v>3</v>
      </c>
      <c r="F60" s="3">
        <v>0</v>
      </c>
      <c r="G60" s="3" t="s">
        <v>127</v>
      </c>
      <c r="H60" t="s">
        <v>24</v>
      </c>
      <c r="I60" t="s">
        <v>20</v>
      </c>
      <c r="J60" t="s">
        <v>25</v>
      </c>
      <c r="K60" t="s">
        <v>22</v>
      </c>
      <c r="L60" t="s">
        <v>19</v>
      </c>
      <c r="M60" t="s">
        <v>19</v>
      </c>
      <c r="N60" s="1" t="s">
        <v>19</v>
      </c>
      <c r="O60" s="1" t="s">
        <v>19</v>
      </c>
      <c r="P60" t="s">
        <v>19</v>
      </c>
      <c r="Q60">
        <v>2</v>
      </c>
      <c r="R60" t="s">
        <v>19</v>
      </c>
    </row>
    <row r="61" spans="1:18" x14ac:dyDescent="0.2">
      <c r="A61">
        <v>60</v>
      </c>
      <c r="B61" t="s">
        <v>128</v>
      </c>
      <c r="C61" s="2">
        <v>45996</v>
      </c>
      <c r="D61" s="2">
        <v>45996</v>
      </c>
      <c r="E61" s="3">
        <v>2</v>
      </c>
      <c r="F61" s="3">
        <v>0</v>
      </c>
      <c r="G61" s="3" t="s">
        <v>129</v>
      </c>
      <c r="H61" t="s">
        <v>24</v>
      </c>
      <c r="I61" t="s">
        <v>20</v>
      </c>
      <c r="J61" t="s">
        <v>25</v>
      </c>
      <c r="K61" t="s">
        <v>22</v>
      </c>
      <c r="L61" t="s">
        <v>19</v>
      </c>
      <c r="M61" t="s">
        <v>19</v>
      </c>
      <c r="N61" s="1" t="s">
        <v>19</v>
      </c>
      <c r="O61" s="1" t="s">
        <v>19</v>
      </c>
      <c r="P61" t="s">
        <v>19</v>
      </c>
      <c r="Q61">
        <v>2</v>
      </c>
      <c r="R61" t="s">
        <v>19</v>
      </c>
    </row>
    <row r="62" spans="1:18" x14ac:dyDescent="0.2">
      <c r="A62">
        <v>61</v>
      </c>
      <c r="B62" t="s">
        <v>130</v>
      </c>
      <c r="C62" s="2">
        <v>46037</v>
      </c>
      <c r="D62" s="2">
        <v>46037</v>
      </c>
      <c r="E62" s="3">
        <v>1</v>
      </c>
      <c r="F62" s="3">
        <v>0</v>
      </c>
      <c r="G62" s="3" t="s">
        <v>131</v>
      </c>
      <c r="H62" t="s">
        <v>44</v>
      </c>
      <c r="I62" t="s">
        <v>20</v>
      </c>
      <c r="J62" t="s">
        <v>25</v>
      </c>
      <c r="K62" t="s">
        <v>31</v>
      </c>
      <c r="L62" t="s">
        <v>19</v>
      </c>
      <c r="M62" t="s">
        <v>19</v>
      </c>
      <c r="N62" s="1" t="s">
        <v>19</v>
      </c>
      <c r="O62" s="1" t="s">
        <v>19</v>
      </c>
      <c r="P62" t="s">
        <v>19</v>
      </c>
      <c r="Q62">
        <v>2</v>
      </c>
      <c r="R62" t="s">
        <v>19</v>
      </c>
    </row>
    <row r="63" spans="1:18" x14ac:dyDescent="0.2">
      <c r="A63">
        <v>62</v>
      </c>
      <c r="B63" t="s">
        <v>132</v>
      </c>
      <c r="C63" s="2">
        <v>46052</v>
      </c>
      <c r="D63" s="2">
        <v>46052</v>
      </c>
      <c r="E63" s="3">
        <v>1</v>
      </c>
      <c r="F63" s="3">
        <v>0</v>
      </c>
      <c r="G63" s="3" t="s">
        <v>133</v>
      </c>
      <c r="H63" t="s">
        <v>24</v>
      </c>
      <c r="I63" t="s">
        <v>20</v>
      </c>
      <c r="J63" t="s">
        <v>25</v>
      </c>
      <c r="K63" t="s">
        <v>31</v>
      </c>
      <c r="L63" t="s">
        <v>19</v>
      </c>
      <c r="M63" t="s">
        <v>19</v>
      </c>
      <c r="N63" s="1" t="s">
        <v>19</v>
      </c>
      <c r="O63" s="1" t="s">
        <v>19</v>
      </c>
      <c r="P63" t="s">
        <v>19</v>
      </c>
      <c r="Q63">
        <v>2</v>
      </c>
      <c r="R63" t="s">
        <v>19</v>
      </c>
    </row>
    <row r="64" spans="1:18" x14ac:dyDescent="0.2">
      <c r="A64">
        <v>63</v>
      </c>
      <c r="B64" t="s">
        <v>399</v>
      </c>
      <c r="C64" s="2"/>
      <c r="D64" s="2"/>
      <c r="E64" s="3" t="s">
        <v>19</v>
      </c>
      <c r="F64" s="3">
        <v>0</v>
      </c>
      <c r="G64" s="3" t="s">
        <v>37</v>
      </c>
      <c r="H64" t="s">
        <v>19</v>
      </c>
      <c r="I64" t="s">
        <v>20</v>
      </c>
      <c r="J64" t="s">
        <v>25</v>
      </c>
      <c r="K64" t="s">
        <v>22</v>
      </c>
      <c r="L64" t="s">
        <v>19</v>
      </c>
      <c r="M64" t="s">
        <v>19</v>
      </c>
      <c r="N64" s="1" t="s">
        <v>19</v>
      </c>
      <c r="O64" s="1" t="s">
        <v>19</v>
      </c>
      <c r="P64" t="s">
        <v>19</v>
      </c>
      <c r="Q64">
        <v>1</v>
      </c>
      <c r="R64" t="s">
        <v>19</v>
      </c>
    </row>
    <row r="65" spans="1:18" x14ac:dyDescent="0.2">
      <c r="A65">
        <v>64</v>
      </c>
      <c r="B65" t="s">
        <v>134</v>
      </c>
      <c r="C65" s="2">
        <v>46032</v>
      </c>
      <c r="D65" s="2">
        <v>46032</v>
      </c>
      <c r="E65" s="3">
        <v>3</v>
      </c>
      <c r="F65" s="3">
        <v>0</v>
      </c>
      <c r="G65" s="3" t="s">
        <v>135</v>
      </c>
      <c r="H65" t="s">
        <v>24</v>
      </c>
      <c r="I65" t="s">
        <v>20</v>
      </c>
      <c r="J65" t="s">
        <v>25</v>
      </c>
      <c r="K65" t="s">
        <v>22</v>
      </c>
      <c r="L65" t="s">
        <v>19</v>
      </c>
      <c r="M65" t="s">
        <v>19</v>
      </c>
      <c r="N65" s="1" t="s">
        <v>19</v>
      </c>
      <c r="O65" s="1" t="s">
        <v>19</v>
      </c>
      <c r="P65" t="s">
        <v>19</v>
      </c>
      <c r="Q65">
        <v>2</v>
      </c>
      <c r="R65" t="s">
        <v>19</v>
      </c>
    </row>
    <row r="66" spans="1:18" x14ac:dyDescent="0.2">
      <c r="A66">
        <v>65</v>
      </c>
      <c r="B66" t="s">
        <v>136</v>
      </c>
      <c r="C66" s="2">
        <v>46037</v>
      </c>
      <c r="D66" s="2">
        <v>46037</v>
      </c>
      <c r="E66" s="3">
        <v>2</v>
      </c>
      <c r="F66" s="3">
        <v>0</v>
      </c>
      <c r="G66" s="3" t="s">
        <v>137</v>
      </c>
      <c r="H66" t="s">
        <v>24</v>
      </c>
      <c r="I66" t="s">
        <v>20</v>
      </c>
      <c r="J66" t="s">
        <v>25</v>
      </c>
      <c r="K66" t="s">
        <v>22</v>
      </c>
      <c r="L66" t="s">
        <v>19</v>
      </c>
      <c r="M66" t="s">
        <v>19</v>
      </c>
      <c r="N66" s="1" t="s">
        <v>19</v>
      </c>
      <c r="O66" s="1" t="s">
        <v>19</v>
      </c>
      <c r="P66" t="s">
        <v>19</v>
      </c>
      <c r="Q66">
        <v>2</v>
      </c>
      <c r="R66" t="s">
        <v>19</v>
      </c>
    </row>
    <row r="67" spans="1:18" x14ac:dyDescent="0.2">
      <c r="A67">
        <v>66</v>
      </c>
      <c r="B67" t="s">
        <v>138</v>
      </c>
      <c r="C67" s="2">
        <v>46059</v>
      </c>
      <c r="D67" s="2">
        <v>46059</v>
      </c>
      <c r="E67" s="3">
        <v>1</v>
      </c>
      <c r="F67" s="3">
        <v>0</v>
      </c>
      <c r="G67" s="3" t="s">
        <v>139</v>
      </c>
      <c r="H67" t="s">
        <v>44</v>
      </c>
      <c r="I67" t="s">
        <v>20</v>
      </c>
      <c r="J67" t="s">
        <v>25</v>
      </c>
      <c r="K67" t="s">
        <v>31</v>
      </c>
      <c r="L67" t="s">
        <v>19</v>
      </c>
      <c r="M67" t="s">
        <v>19</v>
      </c>
      <c r="N67" s="1" t="s">
        <v>19</v>
      </c>
      <c r="O67" s="1" t="s">
        <v>19</v>
      </c>
      <c r="P67" t="s">
        <v>19</v>
      </c>
      <c r="Q67">
        <v>2</v>
      </c>
      <c r="R67" t="s">
        <v>19</v>
      </c>
    </row>
    <row r="68" spans="1:18" x14ac:dyDescent="0.2">
      <c r="A68">
        <v>67</v>
      </c>
      <c r="B68" t="s">
        <v>140</v>
      </c>
      <c r="C68" s="2">
        <v>46066</v>
      </c>
      <c r="D68" s="2">
        <v>46066</v>
      </c>
      <c r="E68" s="3">
        <v>1</v>
      </c>
      <c r="F68" s="3">
        <v>0</v>
      </c>
      <c r="G68" s="3" t="s">
        <v>141</v>
      </c>
      <c r="H68" t="s">
        <v>24</v>
      </c>
      <c r="I68" t="s">
        <v>20</v>
      </c>
      <c r="J68" t="s">
        <v>25</v>
      </c>
      <c r="K68" t="s">
        <v>31</v>
      </c>
      <c r="L68" t="s">
        <v>19</v>
      </c>
      <c r="M68" t="s">
        <v>19</v>
      </c>
      <c r="N68" s="1" t="s">
        <v>19</v>
      </c>
      <c r="O68" s="1" t="s">
        <v>19</v>
      </c>
      <c r="P68" t="s">
        <v>19</v>
      </c>
      <c r="Q68">
        <v>2</v>
      </c>
      <c r="R68" t="s">
        <v>19</v>
      </c>
    </row>
    <row r="69" spans="1:18" x14ac:dyDescent="0.2">
      <c r="A69">
        <v>68</v>
      </c>
      <c r="B69" t="s">
        <v>142</v>
      </c>
      <c r="C69" s="2"/>
      <c r="D69" s="2"/>
      <c r="E69" s="3" t="s">
        <v>19</v>
      </c>
      <c r="F69" s="3">
        <v>0</v>
      </c>
      <c r="G69" s="3" t="s">
        <v>37</v>
      </c>
      <c r="H69" t="s">
        <v>19</v>
      </c>
      <c r="I69" t="s">
        <v>20</v>
      </c>
      <c r="J69" t="s">
        <v>25</v>
      </c>
      <c r="K69" t="s">
        <v>22</v>
      </c>
      <c r="L69" t="s">
        <v>19</v>
      </c>
      <c r="M69" t="s">
        <v>19</v>
      </c>
      <c r="N69" s="1" t="s">
        <v>19</v>
      </c>
      <c r="O69" s="1" t="s">
        <v>19</v>
      </c>
      <c r="P69" t="s">
        <v>19</v>
      </c>
      <c r="Q69">
        <v>1</v>
      </c>
      <c r="R69" t="s">
        <v>19</v>
      </c>
    </row>
    <row r="70" spans="1:18" x14ac:dyDescent="0.2">
      <c r="A70">
        <v>69</v>
      </c>
      <c r="B70" t="s">
        <v>143</v>
      </c>
      <c r="C70" s="2">
        <v>46075</v>
      </c>
      <c r="D70" s="2">
        <v>46075</v>
      </c>
      <c r="E70" s="3">
        <v>3</v>
      </c>
      <c r="F70" s="3">
        <v>0</v>
      </c>
      <c r="G70" s="3" t="s">
        <v>144</v>
      </c>
      <c r="H70" t="s">
        <v>24</v>
      </c>
      <c r="I70" t="s">
        <v>20</v>
      </c>
      <c r="J70" t="s">
        <v>25</v>
      </c>
      <c r="K70" t="s">
        <v>22</v>
      </c>
      <c r="L70" t="s">
        <v>19</v>
      </c>
      <c r="M70" t="s">
        <v>19</v>
      </c>
      <c r="N70" s="1" t="s">
        <v>19</v>
      </c>
      <c r="O70" s="1" t="s">
        <v>19</v>
      </c>
      <c r="P70" t="s">
        <v>19</v>
      </c>
      <c r="Q70">
        <v>2</v>
      </c>
      <c r="R70" t="s">
        <v>19</v>
      </c>
    </row>
    <row r="71" spans="1:18" x14ac:dyDescent="0.2">
      <c r="A71">
        <v>70</v>
      </c>
      <c r="B71" t="s">
        <v>145</v>
      </c>
      <c r="C71" s="2">
        <v>46079</v>
      </c>
      <c r="D71" s="2">
        <v>46079</v>
      </c>
      <c r="E71" s="3">
        <v>2</v>
      </c>
      <c r="F71" s="3">
        <v>0</v>
      </c>
      <c r="G71" s="3" t="s">
        <v>146</v>
      </c>
      <c r="H71" t="s">
        <v>24</v>
      </c>
      <c r="I71" t="s">
        <v>20</v>
      </c>
      <c r="J71" t="s">
        <v>25</v>
      </c>
      <c r="K71" t="s">
        <v>22</v>
      </c>
      <c r="L71" t="s">
        <v>19</v>
      </c>
      <c r="M71" t="s">
        <v>19</v>
      </c>
      <c r="N71" s="1" t="s">
        <v>19</v>
      </c>
      <c r="O71" s="1" t="s">
        <v>19</v>
      </c>
      <c r="P71" t="s">
        <v>19</v>
      </c>
      <c r="Q71">
        <v>2</v>
      </c>
      <c r="R71" t="s">
        <v>19</v>
      </c>
    </row>
    <row r="72" spans="1:18" x14ac:dyDescent="0.2">
      <c r="A72">
        <v>71</v>
      </c>
      <c r="B72" t="s">
        <v>147</v>
      </c>
      <c r="C72" s="2">
        <v>46087</v>
      </c>
      <c r="D72" s="2">
        <v>46087</v>
      </c>
      <c r="E72" s="3">
        <v>1</v>
      </c>
      <c r="F72" s="3">
        <v>0</v>
      </c>
      <c r="G72" s="3" t="s">
        <v>148</v>
      </c>
      <c r="H72" t="s">
        <v>44</v>
      </c>
      <c r="I72" t="s">
        <v>20</v>
      </c>
      <c r="J72" t="s">
        <v>25</v>
      </c>
      <c r="K72" t="s">
        <v>31</v>
      </c>
      <c r="L72" t="s">
        <v>19</v>
      </c>
      <c r="M72" t="s">
        <v>19</v>
      </c>
      <c r="N72" s="1" t="s">
        <v>19</v>
      </c>
      <c r="O72" s="1" t="s">
        <v>19</v>
      </c>
      <c r="P72" t="s">
        <v>19</v>
      </c>
      <c r="Q72">
        <v>2</v>
      </c>
      <c r="R72" t="s">
        <v>19</v>
      </c>
    </row>
    <row r="73" spans="1:18" x14ac:dyDescent="0.2">
      <c r="A73">
        <v>72</v>
      </c>
      <c r="B73" t="s">
        <v>149</v>
      </c>
      <c r="C73" s="2">
        <v>46093</v>
      </c>
      <c r="D73" s="2">
        <v>46093</v>
      </c>
      <c r="E73" s="3">
        <v>1</v>
      </c>
      <c r="F73" s="3">
        <v>0</v>
      </c>
      <c r="G73" s="3" t="s">
        <v>150</v>
      </c>
      <c r="H73" t="s">
        <v>24</v>
      </c>
      <c r="I73" t="s">
        <v>20</v>
      </c>
      <c r="J73" t="s">
        <v>25</v>
      </c>
      <c r="K73" t="s">
        <v>31</v>
      </c>
      <c r="L73" t="s">
        <v>19</v>
      </c>
      <c r="M73" t="s">
        <v>19</v>
      </c>
      <c r="N73" s="1" t="s">
        <v>19</v>
      </c>
      <c r="O73" s="1" t="s">
        <v>19</v>
      </c>
      <c r="P73" t="s">
        <v>19</v>
      </c>
      <c r="Q73">
        <v>2</v>
      </c>
      <c r="R73" t="s">
        <v>19</v>
      </c>
    </row>
    <row r="74" spans="1:18" x14ac:dyDescent="0.2">
      <c r="A74">
        <v>73</v>
      </c>
      <c r="B74" t="s">
        <v>151</v>
      </c>
      <c r="C74" s="2"/>
      <c r="D74" s="2"/>
      <c r="E74" s="3" t="s">
        <v>19</v>
      </c>
      <c r="F74" s="3">
        <v>0</v>
      </c>
      <c r="G74" s="3" t="s">
        <v>37</v>
      </c>
      <c r="H74" t="s">
        <v>19</v>
      </c>
      <c r="I74" t="s">
        <v>20</v>
      </c>
      <c r="J74" t="s">
        <v>25</v>
      </c>
      <c r="K74" t="s">
        <v>22</v>
      </c>
      <c r="L74" t="s">
        <v>19</v>
      </c>
      <c r="M74" t="s">
        <v>19</v>
      </c>
      <c r="N74" s="1" t="s">
        <v>19</v>
      </c>
      <c r="O74" s="1" t="s">
        <v>19</v>
      </c>
      <c r="P74" t="s">
        <v>19</v>
      </c>
      <c r="Q74">
        <v>1</v>
      </c>
      <c r="R74" t="s">
        <v>19</v>
      </c>
    </row>
    <row r="75" spans="1:18" x14ac:dyDescent="0.2">
      <c r="A75">
        <v>74</v>
      </c>
      <c r="B75" t="s">
        <v>152</v>
      </c>
      <c r="C75" s="2">
        <v>45974</v>
      </c>
      <c r="D75" s="2">
        <v>45974</v>
      </c>
      <c r="E75" s="3">
        <v>3</v>
      </c>
      <c r="F75" s="3">
        <v>0</v>
      </c>
      <c r="G75" s="3" t="s">
        <v>153</v>
      </c>
      <c r="H75" t="s">
        <v>24</v>
      </c>
      <c r="I75" t="s">
        <v>20</v>
      </c>
      <c r="J75" t="s">
        <v>25</v>
      </c>
      <c r="K75" t="s">
        <v>22</v>
      </c>
      <c r="L75" t="s">
        <v>19</v>
      </c>
      <c r="M75" t="s">
        <v>19</v>
      </c>
      <c r="N75" s="1" t="s">
        <v>19</v>
      </c>
      <c r="O75" s="1" t="s">
        <v>19</v>
      </c>
      <c r="P75" t="s">
        <v>19</v>
      </c>
      <c r="Q75">
        <v>2</v>
      </c>
      <c r="R75" t="s">
        <v>19</v>
      </c>
    </row>
    <row r="76" spans="1:18" x14ac:dyDescent="0.2">
      <c r="A76">
        <v>75</v>
      </c>
      <c r="B76" t="s">
        <v>154</v>
      </c>
      <c r="C76" s="2">
        <v>45979</v>
      </c>
      <c r="D76" s="2">
        <v>45979</v>
      </c>
      <c r="E76" s="3">
        <v>2</v>
      </c>
      <c r="F76" s="3">
        <v>0</v>
      </c>
      <c r="G76" s="3" t="s">
        <v>155</v>
      </c>
      <c r="H76" t="s">
        <v>24</v>
      </c>
      <c r="I76" t="s">
        <v>20</v>
      </c>
      <c r="J76" t="s">
        <v>25</v>
      </c>
      <c r="K76" t="s">
        <v>22</v>
      </c>
      <c r="L76" t="s">
        <v>19</v>
      </c>
      <c r="M76" t="s">
        <v>19</v>
      </c>
      <c r="N76" s="1" t="s">
        <v>19</v>
      </c>
      <c r="O76" s="1" t="s">
        <v>19</v>
      </c>
      <c r="P76" t="s">
        <v>19</v>
      </c>
      <c r="Q76">
        <v>2</v>
      </c>
      <c r="R76" t="s">
        <v>19</v>
      </c>
    </row>
    <row r="77" spans="1:18" x14ac:dyDescent="0.2">
      <c r="A77">
        <v>76</v>
      </c>
      <c r="B77" t="s">
        <v>156</v>
      </c>
      <c r="C77" s="2">
        <v>46001</v>
      </c>
      <c r="D77" s="2">
        <v>46001</v>
      </c>
      <c r="E77" s="3">
        <v>1</v>
      </c>
      <c r="F77" s="3">
        <v>0</v>
      </c>
      <c r="G77" s="3" t="s">
        <v>157</v>
      </c>
      <c r="H77" t="s">
        <v>44</v>
      </c>
      <c r="I77" t="s">
        <v>20</v>
      </c>
      <c r="J77" t="s">
        <v>25</v>
      </c>
      <c r="K77" t="s">
        <v>31</v>
      </c>
      <c r="L77" t="s">
        <v>19</v>
      </c>
      <c r="M77" t="s">
        <v>19</v>
      </c>
      <c r="N77" s="1" t="s">
        <v>19</v>
      </c>
      <c r="O77" s="1" t="s">
        <v>19</v>
      </c>
      <c r="P77" t="s">
        <v>19</v>
      </c>
      <c r="Q77">
        <v>2</v>
      </c>
      <c r="R77" t="s">
        <v>19</v>
      </c>
    </row>
    <row r="78" spans="1:18" x14ac:dyDescent="0.2">
      <c r="A78">
        <v>77</v>
      </c>
      <c r="B78" t="s">
        <v>158</v>
      </c>
      <c r="C78" s="2">
        <v>46006</v>
      </c>
      <c r="D78" s="2">
        <v>46006</v>
      </c>
      <c r="E78" s="3">
        <v>1</v>
      </c>
      <c r="F78" s="3">
        <v>0</v>
      </c>
      <c r="G78" s="3" t="s">
        <v>159</v>
      </c>
      <c r="H78" t="s">
        <v>24</v>
      </c>
      <c r="I78" t="s">
        <v>20</v>
      </c>
      <c r="J78" t="s">
        <v>25</v>
      </c>
      <c r="K78" t="s">
        <v>31</v>
      </c>
      <c r="L78" t="s">
        <v>19</v>
      </c>
      <c r="M78" t="s">
        <v>19</v>
      </c>
      <c r="N78" s="1" t="s">
        <v>19</v>
      </c>
      <c r="O78" s="1" t="s">
        <v>19</v>
      </c>
      <c r="P78" t="s">
        <v>19</v>
      </c>
      <c r="Q78">
        <v>2</v>
      </c>
      <c r="R78" t="s">
        <v>19</v>
      </c>
    </row>
    <row r="79" spans="1:18" x14ac:dyDescent="0.2">
      <c r="A79">
        <v>78</v>
      </c>
      <c r="B79" t="s">
        <v>160</v>
      </c>
      <c r="C79" s="2"/>
      <c r="D79" s="2"/>
      <c r="E79" s="3" t="s">
        <v>19</v>
      </c>
      <c r="F79" s="3">
        <v>0</v>
      </c>
      <c r="G79" s="3" t="s">
        <v>37</v>
      </c>
      <c r="H79" t="s">
        <v>19</v>
      </c>
      <c r="I79" t="s">
        <v>20</v>
      </c>
      <c r="J79" t="s">
        <v>25</v>
      </c>
      <c r="K79" t="s">
        <v>22</v>
      </c>
      <c r="L79" t="s">
        <v>19</v>
      </c>
      <c r="M79" t="s">
        <v>19</v>
      </c>
      <c r="N79" s="1" t="s">
        <v>19</v>
      </c>
      <c r="O79" s="1" t="s">
        <v>19</v>
      </c>
      <c r="P79" t="s">
        <v>19</v>
      </c>
      <c r="Q79">
        <v>1</v>
      </c>
      <c r="R79" t="s">
        <v>19</v>
      </c>
    </row>
    <row r="80" spans="1:18" x14ac:dyDescent="0.2">
      <c r="A80">
        <v>79</v>
      </c>
      <c r="B80" t="s">
        <v>161</v>
      </c>
      <c r="C80" s="2">
        <f>DATE(2025,8,16)</f>
        <v>45885</v>
      </c>
      <c r="D80" s="2">
        <f>DATE(2025,8,16)</f>
        <v>45885</v>
      </c>
      <c r="E80" s="3">
        <v>3</v>
      </c>
      <c r="F80" s="3">
        <v>0</v>
      </c>
      <c r="G80" s="3" t="s">
        <v>162</v>
      </c>
      <c r="H80" t="s">
        <v>24</v>
      </c>
      <c r="I80" t="s">
        <v>20</v>
      </c>
      <c r="J80" t="s">
        <v>25</v>
      </c>
      <c r="K80" t="s">
        <v>22</v>
      </c>
      <c r="L80" t="s">
        <v>19</v>
      </c>
      <c r="M80" t="s">
        <v>19</v>
      </c>
      <c r="N80" s="1" t="s">
        <v>19</v>
      </c>
      <c r="O80" s="1" t="s">
        <v>19</v>
      </c>
      <c r="P80" t="s">
        <v>19</v>
      </c>
      <c r="Q80">
        <v>2</v>
      </c>
      <c r="R80" t="s">
        <v>19</v>
      </c>
    </row>
    <row r="81" spans="1:18" x14ac:dyDescent="0.2">
      <c r="A81">
        <v>80</v>
      </c>
      <c r="B81" t="s">
        <v>163</v>
      </c>
      <c r="C81" s="2">
        <f>DATE(2025,8,16)</f>
        <v>45885</v>
      </c>
      <c r="D81" s="2">
        <f>DATE(2025,8,16)</f>
        <v>45885</v>
      </c>
      <c r="E81" s="3">
        <v>2</v>
      </c>
      <c r="F81" s="3">
        <v>0</v>
      </c>
      <c r="G81" s="3" t="s">
        <v>164</v>
      </c>
      <c r="H81" t="s">
        <v>24</v>
      </c>
      <c r="I81" t="s">
        <v>20</v>
      </c>
      <c r="J81" t="s">
        <v>25</v>
      </c>
      <c r="K81" t="s">
        <v>22</v>
      </c>
      <c r="L81" t="s">
        <v>19</v>
      </c>
      <c r="M81" t="s">
        <v>19</v>
      </c>
      <c r="N81" s="1" t="s">
        <v>19</v>
      </c>
      <c r="O81" s="1" t="s">
        <v>19</v>
      </c>
      <c r="P81" t="s">
        <v>19</v>
      </c>
      <c r="Q81">
        <v>2</v>
      </c>
      <c r="R81" t="s">
        <v>19</v>
      </c>
    </row>
    <row r="82" spans="1:18" x14ac:dyDescent="0.2">
      <c r="A82">
        <v>81</v>
      </c>
      <c r="B82" t="s">
        <v>165</v>
      </c>
      <c r="C82" s="2">
        <f>DATE(2025,11,15)</f>
        <v>45976</v>
      </c>
      <c r="D82" s="2">
        <f>DATE(2025,11,15)</f>
        <v>45976</v>
      </c>
      <c r="E82" s="3">
        <v>1</v>
      </c>
      <c r="F82" s="3">
        <v>0</v>
      </c>
      <c r="G82" s="3" t="s">
        <v>166</v>
      </c>
      <c r="H82" t="s">
        <v>44</v>
      </c>
      <c r="I82" t="s">
        <v>20</v>
      </c>
      <c r="J82" t="s">
        <v>25</v>
      </c>
      <c r="K82" t="s">
        <v>31</v>
      </c>
      <c r="L82" t="s">
        <v>19</v>
      </c>
      <c r="M82" t="s">
        <v>19</v>
      </c>
      <c r="N82" s="1" t="s">
        <v>19</v>
      </c>
      <c r="O82" s="1" t="s">
        <v>19</v>
      </c>
      <c r="P82" t="s">
        <v>19</v>
      </c>
      <c r="Q82">
        <v>2</v>
      </c>
      <c r="R82" t="s">
        <v>19</v>
      </c>
    </row>
    <row r="83" spans="1:18" x14ac:dyDescent="0.2">
      <c r="A83">
        <v>82</v>
      </c>
      <c r="B83" t="s">
        <v>167</v>
      </c>
      <c r="C83" s="4">
        <f>DATE(2025,11,17)</f>
        <v>45978</v>
      </c>
      <c r="D83" s="2">
        <f>DATE(2025,11,17)</f>
        <v>45978</v>
      </c>
      <c r="E83" s="3">
        <v>1</v>
      </c>
      <c r="F83" s="3">
        <v>0</v>
      </c>
      <c r="G83" s="3" t="s">
        <v>168</v>
      </c>
      <c r="H83" t="s">
        <v>24</v>
      </c>
      <c r="I83" t="s">
        <v>20</v>
      </c>
      <c r="J83" t="s">
        <v>25</v>
      </c>
      <c r="K83" t="s">
        <v>31</v>
      </c>
      <c r="L83" t="s">
        <v>19</v>
      </c>
      <c r="M83" t="s">
        <v>19</v>
      </c>
      <c r="N83" s="1" t="s">
        <v>19</v>
      </c>
      <c r="O83" s="1" t="s">
        <v>19</v>
      </c>
      <c r="P83" t="s">
        <v>19</v>
      </c>
      <c r="Q83">
        <v>2</v>
      </c>
      <c r="R83" t="s">
        <v>19</v>
      </c>
    </row>
    <row r="84" spans="1:18" x14ac:dyDescent="0.2">
      <c r="A84">
        <v>83</v>
      </c>
      <c r="B84" t="s">
        <v>169</v>
      </c>
      <c r="C84" s="2"/>
      <c r="D84" s="2"/>
      <c r="E84" s="3" t="s">
        <v>19</v>
      </c>
      <c r="F84" s="3">
        <v>0</v>
      </c>
      <c r="G84" s="3" t="s">
        <v>37</v>
      </c>
      <c r="H84" t="s">
        <v>19</v>
      </c>
      <c r="I84" t="s">
        <v>20</v>
      </c>
      <c r="J84" t="s">
        <v>25</v>
      </c>
      <c r="K84" t="s">
        <v>22</v>
      </c>
      <c r="L84" t="s">
        <v>19</v>
      </c>
      <c r="M84" t="s">
        <v>19</v>
      </c>
      <c r="N84" s="1" t="s">
        <v>19</v>
      </c>
      <c r="O84" s="1" t="s">
        <v>19</v>
      </c>
      <c r="P84" t="s">
        <v>19</v>
      </c>
      <c r="Q84">
        <v>1</v>
      </c>
      <c r="R84" t="s">
        <v>19</v>
      </c>
    </row>
    <row r="85" spans="1:18" x14ac:dyDescent="0.2">
      <c r="A85">
        <v>84</v>
      </c>
      <c r="B85" t="s">
        <v>170</v>
      </c>
      <c r="C85" s="2">
        <f>DATE(2025,9,25)</f>
        <v>45925</v>
      </c>
      <c r="D85" s="2">
        <f>DATE(2025,10,5)</f>
        <v>45935</v>
      </c>
      <c r="E85" s="3">
        <v>3</v>
      </c>
      <c r="F85" s="3">
        <v>0</v>
      </c>
      <c r="G85" s="3" t="s">
        <v>171</v>
      </c>
      <c r="H85" t="s">
        <v>24</v>
      </c>
      <c r="I85" t="s">
        <v>20</v>
      </c>
      <c r="J85" t="s">
        <v>25</v>
      </c>
      <c r="K85" t="s">
        <v>22</v>
      </c>
      <c r="L85" t="s">
        <v>19</v>
      </c>
      <c r="M85" t="s">
        <v>19</v>
      </c>
      <c r="N85" s="1" t="s">
        <v>19</v>
      </c>
      <c r="O85" s="1" t="s">
        <v>19</v>
      </c>
      <c r="P85" t="s">
        <v>19</v>
      </c>
      <c r="Q85">
        <v>2</v>
      </c>
      <c r="R85" t="s">
        <v>19</v>
      </c>
    </row>
    <row r="86" spans="1:18" x14ac:dyDescent="0.2">
      <c r="A86">
        <v>85</v>
      </c>
      <c r="B86" t="s">
        <v>172</v>
      </c>
      <c r="C86" s="2">
        <f>DATE(2025,11,29)</f>
        <v>45990</v>
      </c>
      <c r="D86" s="2">
        <f>DATE(2025,11,29)</f>
        <v>45990</v>
      </c>
      <c r="E86" s="3">
        <v>2</v>
      </c>
      <c r="F86" s="3">
        <v>0</v>
      </c>
      <c r="G86" s="3" t="s">
        <v>173</v>
      </c>
      <c r="H86" t="s">
        <v>24</v>
      </c>
      <c r="I86" t="s">
        <v>20</v>
      </c>
      <c r="J86" t="s">
        <v>25</v>
      </c>
      <c r="K86" t="s">
        <v>22</v>
      </c>
      <c r="L86" t="s">
        <v>19</v>
      </c>
      <c r="M86" t="s">
        <v>19</v>
      </c>
      <c r="N86" s="1" t="s">
        <v>19</v>
      </c>
      <c r="O86" s="1" t="s">
        <v>19</v>
      </c>
      <c r="P86" t="s">
        <v>19</v>
      </c>
      <c r="Q86">
        <v>2</v>
      </c>
      <c r="R86" t="s">
        <v>19</v>
      </c>
    </row>
    <row r="87" spans="1:18" x14ac:dyDescent="0.2">
      <c r="A87">
        <v>86</v>
      </c>
      <c r="B87" t="s">
        <v>174</v>
      </c>
      <c r="C87" s="2">
        <f>DATE(2025,11,30)</f>
        <v>45991</v>
      </c>
      <c r="D87" s="2">
        <f>DATE(2025,12,4)</f>
        <v>45995</v>
      </c>
      <c r="E87" s="3">
        <v>1</v>
      </c>
      <c r="F87" s="3">
        <v>0</v>
      </c>
      <c r="G87" s="3" t="s">
        <v>175</v>
      </c>
      <c r="H87" t="s">
        <v>44</v>
      </c>
      <c r="I87" t="s">
        <v>20</v>
      </c>
      <c r="J87" t="s">
        <v>25</v>
      </c>
      <c r="K87" t="s">
        <v>31</v>
      </c>
      <c r="L87" t="s">
        <v>19</v>
      </c>
      <c r="M87" t="s">
        <v>19</v>
      </c>
      <c r="N87" s="1" t="s">
        <v>19</v>
      </c>
      <c r="O87" s="1" t="s">
        <v>19</v>
      </c>
      <c r="P87" t="s">
        <v>19</v>
      </c>
      <c r="Q87">
        <v>2</v>
      </c>
      <c r="R87" t="s">
        <v>19</v>
      </c>
    </row>
    <row r="88" spans="1:18" x14ac:dyDescent="0.2">
      <c r="A88">
        <v>87</v>
      </c>
      <c r="B88" t="s">
        <v>176</v>
      </c>
      <c r="C88" s="2">
        <f>DATE(2025,12,5)</f>
        <v>45996</v>
      </c>
      <c r="D88" s="2">
        <f>DATE(2025,12,5)</f>
        <v>45996</v>
      </c>
      <c r="E88" s="3">
        <v>1</v>
      </c>
      <c r="F88" s="3">
        <v>0</v>
      </c>
      <c r="G88" s="3" t="s">
        <v>177</v>
      </c>
      <c r="H88" t="s">
        <v>24</v>
      </c>
      <c r="I88" t="s">
        <v>20</v>
      </c>
      <c r="J88" t="s">
        <v>25</v>
      </c>
      <c r="K88" t="s">
        <v>31</v>
      </c>
      <c r="L88" t="s">
        <v>19</v>
      </c>
      <c r="M88" t="s">
        <v>19</v>
      </c>
      <c r="N88" s="1" t="s">
        <v>19</v>
      </c>
      <c r="O88" s="1" t="s">
        <v>19</v>
      </c>
      <c r="P88" t="s">
        <v>19</v>
      </c>
      <c r="Q88">
        <v>2</v>
      </c>
      <c r="R88" t="s">
        <v>19</v>
      </c>
    </row>
    <row r="89" spans="1:18" x14ac:dyDescent="0.2">
      <c r="C89" s="2"/>
      <c r="D89" s="2"/>
      <c r="E89" s="3"/>
      <c r="F89" s="3"/>
      <c r="G89" s="3"/>
      <c r="N89" s="1"/>
      <c r="O89" s="1"/>
    </row>
    <row r="90" spans="1:18" x14ac:dyDescent="0.2">
      <c r="A90">
        <v>88</v>
      </c>
      <c r="B90" t="s">
        <v>178</v>
      </c>
      <c r="C90" s="2" t="s">
        <v>19</v>
      </c>
      <c r="D90" s="2" t="s">
        <v>19</v>
      </c>
      <c r="E90" s="3" t="s">
        <v>19</v>
      </c>
      <c r="F90" s="3">
        <v>0</v>
      </c>
      <c r="G90" s="3" t="s">
        <v>19</v>
      </c>
      <c r="H90" t="s">
        <v>19</v>
      </c>
      <c r="I90" t="s">
        <v>20</v>
      </c>
      <c r="J90" t="s">
        <v>25</v>
      </c>
      <c r="K90" t="s">
        <v>22</v>
      </c>
      <c r="L90" t="s">
        <v>19</v>
      </c>
      <c r="M90" t="s">
        <v>19</v>
      </c>
      <c r="N90" s="1" t="s">
        <v>19</v>
      </c>
      <c r="O90" s="1" t="s">
        <v>19</v>
      </c>
      <c r="P90" t="s">
        <v>19</v>
      </c>
      <c r="Q90">
        <v>1</v>
      </c>
      <c r="R90" t="s">
        <v>19</v>
      </c>
    </row>
    <row r="91" spans="1:18" x14ac:dyDescent="0.2">
      <c r="A91">
        <v>89</v>
      </c>
      <c r="B91" t="s">
        <v>179</v>
      </c>
      <c r="C91" s="2" t="s">
        <v>19</v>
      </c>
      <c r="D91" s="2" t="s">
        <v>19</v>
      </c>
      <c r="E91" s="3" t="s">
        <v>19</v>
      </c>
      <c r="F91" s="3">
        <v>0</v>
      </c>
      <c r="G91" s="3" t="s">
        <v>180</v>
      </c>
      <c r="H91" t="s">
        <v>19</v>
      </c>
      <c r="I91" t="s">
        <v>20</v>
      </c>
      <c r="J91" t="s">
        <v>25</v>
      </c>
      <c r="K91" t="s">
        <v>22</v>
      </c>
      <c r="L91" t="s">
        <v>19</v>
      </c>
      <c r="M91" t="s">
        <v>19</v>
      </c>
      <c r="N91" s="1" t="s">
        <v>19</v>
      </c>
      <c r="O91" s="1" t="s">
        <v>19</v>
      </c>
      <c r="P91" t="s">
        <v>19</v>
      </c>
      <c r="Q91">
        <v>1</v>
      </c>
      <c r="R91" t="s">
        <v>19</v>
      </c>
    </row>
    <row r="92" spans="1:18" x14ac:dyDescent="0.2">
      <c r="A92">
        <v>90</v>
      </c>
      <c r="B92" t="s">
        <v>442</v>
      </c>
      <c r="C92" s="2">
        <f>DATE(2025,3,20)</f>
        <v>45736</v>
      </c>
      <c r="D92" s="2">
        <f>DATE(2025,3,24)</f>
        <v>45740</v>
      </c>
      <c r="E92" s="3"/>
      <c r="F92" s="3"/>
      <c r="G92" s="3"/>
      <c r="N92" s="1"/>
      <c r="O92" s="1"/>
    </row>
    <row r="93" spans="1:18" x14ac:dyDescent="0.2">
      <c r="A93">
        <v>91</v>
      </c>
      <c r="B93" t="s">
        <v>443</v>
      </c>
      <c r="C93" s="2">
        <f>DATE(2025,3,25)</f>
        <v>45741</v>
      </c>
      <c r="D93" s="2">
        <f>DATE(2025,9,15)</f>
        <v>45915</v>
      </c>
      <c r="E93" s="3"/>
      <c r="F93" s="3"/>
      <c r="G93" s="3"/>
      <c r="N93" s="1"/>
      <c r="O93" s="1"/>
    </row>
    <row r="94" spans="1:18" x14ac:dyDescent="0.2">
      <c r="A94">
        <v>92</v>
      </c>
      <c r="B94" t="s">
        <v>444</v>
      </c>
      <c r="C94" s="2">
        <f>DATE(2025,9,16)</f>
        <v>45916</v>
      </c>
      <c r="D94" s="2">
        <f>DATE(2025,9,20)</f>
        <v>45920</v>
      </c>
      <c r="E94" s="3"/>
      <c r="F94" s="3"/>
      <c r="G94" s="3"/>
      <c r="N94" s="1"/>
      <c r="O94" s="1"/>
    </row>
    <row r="95" spans="1:18" x14ac:dyDescent="0.2">
      <c r="A95">
        <v>93</v>
      </c>
      <c r="B95" t="s">
        <v>183</v>
      </c>
      <c r="E95" s="3">
        <v>2</v>
      </c>
      <c r="F95" s="3">
        <v>0</v>
      </c>
      <c r="G95" s="3" t="s">
        <v>181</v>
      </c>
      <c r="H95" t="s">
        <v>182</v>
      </c>
      <c r="I95" t="s">
        <v>20</v>
      </c>
      <c r="J95" t="s">
        <v>25</v>
      </c>
      <c r="K95" t="s">
        <v>22</v>
      </c>
      <c r="L95" t="s">
        <v>19</v>
      </c>
      <c r="M95" t="s">
        <v>19</v>
      </c>
      <c r="N95" s="1" t="s">
        <v>19</v>
      </c>
      <c r="O95" s="1" t="s">
        <v>19</v>
      </c>
      <c r="P95" t="s">
        <v>19</v>
      </c>
      <c r="Q95">
        <v>2</v>
      </c>
      <c r="R95" t="s">
        <v>19</v>
      </c>
    </row>
    <row r="96" spans="1:18" x14ac:dyDescent="0.2">
      <c r="A96">
        <v>94</v>
      </c>
      <c r="B96" t="s">
        <v>451</v>
      </c>
      <c r="C96" s="2">
        <f>DATE(2025,7,2)</f>
        <v>45840</v>
      </c>
      <c r="D96" s="2">
        <f>DATE(2025,7,7)</f>
        <v>45845</v>
      </c>
      <c r="E96" s="3">
        <v>7</v>
      </c>
      <c r="F96" s="3">
        <v>0</v>
      </c>
      <c r="G96" s="3" t="s">
        <v>184</v>
      </c>
      <c r="H96" t="s">
        <v>185</v>
      </c>
      <c r="I96" t="s">
        <v>20</v>
      </c>
      <c r="J96" t="s">
        <v>25</v>
      </c>
      <c r="K96" t="s">
        <v>22</v>
      </c>
      <c r="L96" t="s">
        <v>19</v>
      </c>
      <c r="M96" t="s">
        <v>19</v>
      </c>
      <c r="N96" s="1" t="s">
        <v>19</v>
      </c>
      <c r="O96" s="1" t="s">
        <v>19</v>
      </c>
      <c r="P96" t="s">
        <v>19</v>
      </c>
      <c r="Q96">
        <v>2</v>
      </c>
      <c r="R96" t="s">
        <v>19</v>
      </c>
    </row>
    <row r="97" spans="1:18" x14ac:dyDescent="0.2">
      <c r="A97">
        <v>95</v>
      </c>
      <c r="B97" t="s">
        <v>186</v>
      </c>
      <c r="C97" s="2">
        <f>DATE(2025,7,2)</f>
        <v>45840</v>
      </c>
      <c r="D97" s="2">
        <f>DATE(2025,12,10)</f>
        <v>46001</v>
      </c>
      <c r="E97" s="3">
        <v>5</v>
      </c>
      <c r="F97" s="3">
        <v>0</v>
      </c>
      <c r="G97" s="3" t="s">
        <v>187</v>
      </c>
      <c r="H97" t="s">
        <v>188</v>
      </c>
      <c r="I97" t="s">
        <v>20</v>
      </c>
      <c r="J97" t="s">
        <v>25</v>
      </c>
      <c r="K97" t="s">
        <v>22</v>
      </c>
      <c r="L97" t="s">
        <v>19</v>
      </c>
      <c r="M97" t="s">
        <v>19</v>
      </c>
      <c r="N97" s="1" t="s">
        <v>19</v>
      </c>
      <c r="O97" s="1" t="s">
        <v>19</v>
      </c>
      <c r="P97" t="s">
        <v>19</v>
      </c>
      <c r="Q97">
        <v>2</v>
      </c>
      <c r="R97" t="s">
        <v>19</v>
      </c>
    </row>
    <row r="98" spans="1:18" x14ac:dyDescent="0.2">
      <c r="A98">
        <v>96</v>
      </c>
      <c r="B98" t="s">
        <v>189</v>
      </c>
      <c r="C98" s="2" t="s">
        <v>19</v>
      </c>
      <c r="D98" s="2" t="s">
        <v>19</v>
      </c>
      <c r="E98" s="3">
        <v>2</v>
      </c>
      <c r="F98" s="3">
        <v>0</v>
      </c>
      <c r="G98" s="3" t="s">
        <v>190</v>
      </c>
      <c r="H98" t="s">
        <v>191</v>
      </c>
      <c r="I98" t="s">
        <v>20</v>
      </c>
      <c r="J98" t="s">
        <v>25</v>
      </c>
      <c r="K98" t="s">
        <v>22</v>
      </c>
      <c r="L98" t="s">
        <v>19</v>
      </c>
      <c r="M98" t="s">
        <v>19</v>
      </c>
      <c r="N98" s="1" t="s">
        <v>19</v>
      </c>
      <c r="O98" s="1" t="s">
        <v>19</v>
      </c>
      <c r="P98" t="s">
        <v>19</v>
      </c>
      <c r="Q98">
        <v>2</v>
      </c>
      <c r="R98" t="s">
        <v>19</v>
      </c>
    </row>
    <row r="99" spans="1:18" x14ac:dyDescent="0.2">
      <c r="A99">
        <v>97</v>
      </c>
      <c r="B99" t="s">
        <v>192</v>
      </c>
      <c r="C99" s="2" t="s">
        <v>19</v>
      </c>
      <c r="D99" s="2" t="s">
        <v>19</v>
      </c>
      <c r="E99" s="3" t="s">
        <v>19</v>
      </c>
      <c r="F99" s="3">
        <v>0</v>
      </c>
      <c r="G99" s="3" t="s">
        <v>193</v>
      </c>
      <c r="H99" t="s">
        <v>19</v>
      </c>
      <c r="I99" t="s">
        <v>20</v>
      </c>
      <c r="J99" t="s">
        <v>25</v>
      </c>
      <c r="K99" t="s">
        <v>22</v>
      </c>
      <c r="L99" t="s">
        <v>19</v>
      </c>
      <c r="M99" t="s">
        <v>19</v>
      </c>
      <c r="N99" s="1" t="s">
        <v>19</v>
      </c>
      <c r="O99" s="1" t="s">
        <v>19</v>
      </c>
      <c r="P99" t="s">
        <v>19</v>
      </c>
      <c r="Q99">
        <v>1</v>
      </c>
      <c r="R99" t="s">
        <v>19</v>
      </c>
    </row>
    <row r="100" spans="1:18" x14ac:dyDescent="0.2">
      <c r="A100">
        <v>98</v>
      </c>
      <c r="B100" t="s">
        <v>400</v>
      </c>
      <c r="C100" s="2">
        <f>DATE(2025,11,25)</f>
        <v>45986</v>
      </c>
      <c r="D100" s="2">
        <f>DATE(2025,12,1)</f>
        <v>45992</v>
      </c>
      <c r="E100" s="3"/>
      <c r="F100" s="3"/>
      <c r="G100" s="3"/>
      <c r="N100" s="1"/>
      <c r="O100" s="1"/>
    </row>
    <row r="101" spans="1:18" x14ac:dyDescent="0.2">
      <c r="A101">
        <v>99</v>
      </c>
      <c r="B101" t="s">
        <v>401</v>
      </c>
      <c r="C101" s="2">
        <f>DATE(2025,11,28)</f>
        <v>45989</v>
      </c>
      <c r="D101" s="2">
        <f>DATE(2025,12,1)</f>
        <v>45992</v>
      </c>
      <c r="E101" s="3"/>
      <c r="F101" s="3"/>
      <c r="G101" s="3"/>
      <c r="N101" s="1"/>
      <c r="O101" s="1"/>
    </row>
    <row r="102" spans="1:18" x14ac:dyDescent="0.2">
      <c r="A102">
        <v>100</v>
      </c>
      <c r="B102" t="s">
        <v>402</v>
      </c>
      <c r="C102" s="2">
        <f>DATE(2025,11,30)</f>
        <v>45991</v>
      </c>
      <c r="D102" s="2">
        <f>DATE(2025,12,1)</f>
        <v>45992</v>
      </c>
      <c r="E102" s="3"/>
      <c r="F102" s="3"/>
      <c r="G102" s="3"/>
      <c r="N102" s="1"/>
      <c r="O102" s="1"/>
    </row>
    <row r="103" spans="1:18" x14ac:dyDescent="0.2">
      <c r="A103">
        <v>101</v>
      </c>
      <c r="B103" t="s">
        <v>403</v>
      </c>
      <c r="C103" s="2">
        <f>DATE(2025,11,30)</f>
        <v>45991</v>
      </c>
      <c r="D103" s="2">
        <f>DATE(2025,12,1)</f>
        <v>45992</v>
      </c>
      <c r="E103" s="3"/>
      <c r="F103" s="3"/>
      <c r="G103" s="3"/>
      <c r="N103" s="1"/>
      <c r="O103" s="1"/>
    </row>
    <row r="104" spans="1:18" x14ac:dyDescent="0.2">
      <c r="A104">
        <v>102</v>
      </c>
      <c r="B104" t="s">
        <v>407</v>
      </c>
      <c r="C104" s="2">
        <f>DATE(2025,12,2)</f>
        <v>45993</v>
      </c>
      <c r="D104" s="2">
        <f>DATE(2025,12,4)</f>
        <v>45995</v>
      </c>
      <c r="E104" s="3"/>
      <c r="F104" s="3"/>
      <c r="G104" s="3"/>
      <c r="N104" s="1"/>
      <c r="O104" s="1"/>
    </row>
    <row r="105" spans="1:18" x14ac:dyDescent="0.2">
      <c r="A105">
        <v>103</v>
      </c>
      <c r="B105" t="s">
        <v>404</v>
      </c>
      <c r="C105" s="2">
        <f>DATE(2025,12,5)</f>
        <v>45996</v>
      </c>
      <c r="D105" s="2">
        <f>DATE(2025,12,6)</f>
        <v>45997</v>
      </c>
      <c r="E105" s="3"/>
      <c r="F105" s="3"/>
      <c r="G105" s="3"/>
      <c r="N105" s="1"/>
      <c r="O105" s="1"/>
    </row>
    <row r="106" spans="1:18" x14ac:dyDescent="0.2">
      <c r="A106">
        <v>104</v>
      </c>
      <c r="B106" t="s">
        <v>195</v>
      </c>
      <c r="C106" s="2"/>
      <c r="D106" s="2"/>
      <c r="E106" s="3"/>
      <c r="F106" s="3"/>
      <c r="G106" s="3"/>
      <c r="N106" s="1"/>
      <c r="O106" s="1"/>
    </row>
    <row r="107" spans="1:18" x14ac:dyDescent="0.2">
      <c r="A107">
        <v>105</v>
      </c>
      <c r="B107" t="s">
        <v>405</v>
      </c>
      <c r="C107" s="2">
        <f>DATE(2025,12,8)</f>
        <v>45999</v>
      </c>
      <c r="D107" s="2">
        <f>DATE(2025,12,13)</f>
        <v>46004</v>
      </c>
      <c r="E107" s="3">
        <v>2</v>
      </c>
      <c r="F107" s="3">
        <v>0</v>
      </c>
      <c r="G107" s="3" t="s">
        <v>194</v>
      </c>
      <c r="H107" t="s">
        <v>182</v>
      </c>
      <c r="I107" t="s">
        <v>20</v>
      </c>
      <c r="J107" t="s">
        <v>25</v>
      </c>
      <c r="K107" t="s">
        <v>22</v>
      </c>
      <c r="L107" t="s">
        <v>19</v>
      </c>
      <c r="M107" t="s">
        <v>19</v>
      </c>
      <c r="N107" s="1" t="s">
        <v>19</v>
      </c>
      <c r="O107" s="1" t="s">
        <v>19</v>
      </c>
      <c r="P107" t="s">
        <v>19</v>
      </c>
      <c r="Q107">
        <v>2</v>
      </c>
      <c r="R107" t="s">
        <v>19</v>
      </c>
    </row>
    <row r="108" spans="1:18" x14ac:dyDescent="0.2">
      <c r="A108">
        <v>106</v>
      </c>
      <c r="B108" t="s">
        <v>454</v>
      </c>
      <c r="C108" s="2">
        <f>DATE(2025,12,8)</f>
        <v>45999</v>
      </c>
      <c r="D108" s="2">
        <f>DATE(2025,1,5)</f>
        <v>45662</v>
      </c>
      <c r="E108" s="3">
        <v>5</v>
      </c>
      <c r="F108" s="3">
        <v>0</v>
      </c>
      <c r="G108" s="3" t="s">
        <v>196</v>
      </c>
      <c r="H108" t="s">
        <v>188</v>
      </c>
      <c r="I108" t="s">
        <v>20</v>
      </c>
      <c r="J108" t="s">
        <v>25</v>
      </c>
      <c r="K108" t="s">
        <v>22</v>
      </c>
      <c r="L108" t="s">
        <v>19</v>
      </c>
      <c r="M108" t="s">
        <v>19</v>
      </c>
      <c r="N108" s="1" t="s">
        <v>19</v>
      </c>
      <c r="O108" s="1" t="s">
        <v>19</v>
      </c>
      <c r="P108" t="s">
        <v>19</v>
      </c>
      <c r="Q108">
        <v>2</v>
      </c>
      <c r="R108" t="s">
        <v>19</v>
      </c>
    </row>
    <row r="109" spans="1:18" x14ac:dyDescent="0.2">
      <c r="A109">
        <v>107</v>
      </c>
      <c r="B109" t="s">
        <v>455</v>
      </c>
      <c r="C109" s="2">
        <f>DATE(2026,5,8)</f>
        <v>46150</v>
      </c>
      <c r="D109" s="2">
        <f>DATE(2026,5,17)</f>
        <v>46159</v>
      </c>
      <c r="E109" s="3"/>
      <c r="F109" s="3"/>
      <c r="G109" s="3"/>
      <c r="N109" s="1"/>
      <c r="O109" s="1"/>
    </row>
    <row r="110" spans="1:18" x14ac:dyDescent="0.2">
      <c r="A110">
        <v>108</v>
      </c>
      <c r="B110" t="s">
        <v>197</v>
      </c>
      <c r="C110" s="2">
        <f>DATE(2026,5,18)</f>
        <v>46160</v>
      </c>
      <c r="D110" s="2">
        <f>DATE(2026,5,25)</f>
        <v>46167</v>
      </c>
      <c r="E110" s="3">
        <v>2</v>
      </c>
      <c r="F110" s="3">
        <v>0</v>
      </c>
      <c r="G110" s="3" t="s">
        <v>198</v>
      </c>
      <c r="H110" t="s">
        <v>191</v>
      </c>
      <c r="I110" t="s">
        <v>20</v>
      </c>
      <c r="J110" t="s">
        <v>25</v>
      </c>
      <c r="K110" t="s">
        <v>22</v>
      </c>
      <c r="L110" t="s">
        <v>19</v>
      </c>
      <c r="M110" t="s">
        <v>19</v>
      </c>
      <c r="N110" s="1" t="s">
        <v>19</v>
      </c>
      <c r="O110" s="1" t="s">
        <v>19</v>
      </c>
      <c r="P110" t="s">
        <v>19</v>
      </c>
      <c r="Q110">
        <v>2</v>
      </c>
      <c r="R110" t="s">
        <v>19</v>
      </c>
    </row>
    <row r="111" spans="1:18" x14ac:dyDescent="0.2">
      <c r="A111">
        <v>109</v>
      </c>
      <c r="B111" t="s">
        <v>199</v>
      </c>
      <c r="C111" s="2" t="s">
        <v>19</v>
      </c>
      <c r="D111" s="2" t="s">
        <v>19</v>
      </c>
      <c r="E111" s="3" t="s">
        <v>19</v>
      </c>
      <c r="F111" s="3">
        <v>0</v>
      </c>
      <c r="G111" s="3" t="s">
        <v>200</v>
      </c>
      <c r="H111" t="s">
        <v>19</v>
      </c>
      <c r="I111" t="s">
        <v>20</v>
      </c>
      <c r="J111" t="s">
        <v>25</v>
      </c>
      <c r="K111" t="s">
        <v>22</v>
      </c>
      <c r="L111" t="s">
        <v>19</v>
      </c>
      <c r="M111" t="s">
        <v>19</v>
      </c>
      <c r="N111" s="1" t="s">
        <v>19</v>
      </c>
      <c r="O111" s="1" t="s">
        <v>19</v>
      </c>
      <c r="P111" t="s">
        <v>19</v>
      </c>
      <c r="Q111">
        <v>1</v>
      </c>
      <c r="R111" t="s">
        <v>19</v>
      </c>
    </row>
    <row r="112" spans="1:18" x14ac:dyDescent="0.2">
      <c r="A112">
        <v>110</v>
      </c>
      <c r="B112" t="s">
        <v>406</v>
      </c>
      <c r="C112" s="2"/>
      <c r="D112" s="2"/>
      <c r="E112" s="3"/>
      <c r="F112" s="3"/>
      <c r="G112" s="3"/>
      <c r="N112" s="1"/>
      <c r="O112" s="1"/>
    </row>
    <row r="113" spans="1:18" x14ac:dyDescent="0.2">
      <c r="A113">
        <v>111</v>
      </c>
      <c r="B113" t="s">
        <v>408</v>
      </c>
      <c r="C113" s="2"/>
      <c r="D113" s="2"/>
      <c r="E113" s="3"/>
      <c r="F113" s="3"/>
      <c r="G113" s="3"/>
      <c r="N113" s="1"/>
      <c r="O113" s="1"/>
    </row>
    <row r="114" spans="1:18" x14ac:dyDescent="0.2">
      <c r="A114">
        <v>112</v>
      </c>
      <c r="B114" t="s">
        <v>409</v>
      </c>
      <c r="C114" s="2"/>
      <c r="D114" s="2"/>
      <c r="E114" s="3"/>
      <c r="F114" s="3"/>
      <c r="G114" s="3"/>
      <c r="N114" s="1"/>
      <c r="O114" s="1"/>
    </row>
    <row r="115" spans="1:18" x14ac:dyDescent="0.2">
      <c r="A115">
        <v>113</v>
      </c>
      <c r="B115" t="s">
        <v>202</v>
      </c>
      <c r="C115" s="2"/>
      <c r="D115" s="2"/>
      <c r="E115" s="3"/>
      <c r="F115" s="3"/>
      <c r="G115" s="3"/>
      <c r="N115" s="1"/>
      <c r="O115" s="1"/>
    </row>
    <row r="116" spans="1:18" x14ac:dyDescent="0.2">
      <c r="A116">
        <v>114</v>
      </c>
      <c r="B116" t="s">
        <v>410</v>
      </c>
      <c r="C116" s="2" t="s">
        <v>19</v>
      </c>
      <c r="D116" s="2" t="s">
        <v>19</v>
      </c>
      <c r="E116" s="3">
        <v>2</v>
      </c>
      <c r="F116" s="3">
        <v>0</v>
      </c>
      <c r="G116" s="3" t="s">
        <v>201</v>
      </c>
      <c r="H116" t="s">
        <v>182</v>
      </c>
      <c r="I116" t="s">
        <v>20</v>
      </c>
      <c r="J116" t="s">
        <v>25</v>
      </c>
      <c r="K116" t="s">
        <v>22</v>
      </c>
      <c r="L116" t="s">
        <v>19</v>
      </c>
      <c r="M116" t="s">
        <v>19</v>
      </c>
      <c r="N116" s="1" t="s">
        <v>19</v>
      </c>
      <c r="O116" s="1" t="s">
        <v>19</v>
      </c>
      <c r="P116" t="s">
        <v>19</v>
      </c>
      <c r="Q116">
        <v>2</v>
      </c>
      <c r="R116" t="s">
        <v>19</v>
      </c>
    </row>
    <row r="117" spans="1:18" x14ac:dyDescent="0.2">
      <c r="A117">
        <v>115</v>
      </c>
      <c r="B117" t="s">
        <v>203</v>
      </c>
      <c r="C117" s="2" t="s">
        <v>19</v>
      </c>
      <c r="D117" s="2" t="s">
        <v>19</v>
      </c>
      <c r="E117" s="3">
        <v>5</v>
      </c>
      <c r="F117" s="3">
        <v>0</v>
      </c>
      <c r="G117" s="3" t="s">
        <v>204</v>
      </c>
      <c r="H117" t="s">
        <v>188</v>
      </c>
      <c r="I117" t="s">
        <v>20</v>
      </c>
      <c r="J117" t="s">
        <v>25</v>
      </c>
      <c r="K117" t="s">
        <v>22</v>
      </c>
      <c r="L117" t="s">
        <v>19</v>
      </c>
      <c r="M117" t="s">
        <v>19</v>
      </c>
      <c r="N117" s="1" t="s">
        <v>19</v>
      </c>
      <c r="O117" s="1" t="s">
        <v>19</v>
      </c>
      <c r="P117" t="s">
        <v>19</v>
      </c>
      <c r="Q117">
        <v>2</v>
      </c>
      <c r="R117" t="s">
        <v>19</v>
      </c>
    </row>
    <row r="118" spans="1:18" x14ac:dyDescent="0.2">
      <c r="A118">
        <v>116</v>
      </c>
      <c r="B118" t="s">
        <v>205</v>
      </c>
      <c r="C118" s="2" t="s">
        <v>19</v>
      </c>
      <c r="D118" s="2" t="s">
        <v>19</v>
      </c>
      <c r="E118" s="3">
        <v>2</v>
      </c>
      <c r="F118" s="3">
        <v>0</v>
      </c>
      <c r="G118" s="3" t="s">
        <v>206</v>
      </c>
      <c r="H118" t="s">
        <v>191</v>
      </c>
      <c r="I118" t="s">
        <v>20</v>
      </c>
      <c r="J118" t="s">
        <v>25</v>
      </c>
      <c r="K118" t="s">
        <v>22</v>
      </c>
      <c r="L118" t="s">
        <v>19</v>
      </c>
      <c r="M118" t="s">
        <v>19</v>
      </c>
      <c r="N118" s="1" t="s">
        <v>19</v>
      </c>
      <c r="O118" s="1" t="s">
        <v>19</v>
      </c>
      <c r="P118" t="s">
        <v>19</v>
      </c>
      <c r="Q118">
        <v>2</v>
      </c>
      <c r="R118" t="s">
        <v>19</v>
      </c>
    </row>
    <row r="119" spans="1:18" x14ac:dyDescent="0.2">
      <c r="A119">
        <v>117</v>
      </c>
      <c r="B119" t="s">
        <v>207</v>
      </c>
      <c r="C119" s="2" t="s">
        <v>19</v>
      </c>
      <c r="D119" s="2" t="s">
        <v>19</v>
      </c>
      <c r="E119" s="3" t="s">
        <v>19</v>
      </c>
      <c r="F119" s="3">
        <v>0</v>
      </c>
      <c r="G119" s="3" t="s">
        <v>208</v>
      </c>
      <c r="H119" t="s">
        <v>19</v>
      </c>
      <c r="I119" t="s">
        <v>20</v>
      </c>
      <c r="J119" t="s">
        <v>25</v>
      </c>
      <c r="K119" t="s">
        <v>22</v>
      </c>
      <c r="L119" t="s">
        <v>19</v>
      </c>
      <c r="M119" t="s">
        <v>19</v>
      </c>
      <c r="N119" s="1" t="s">
        <v>19</v>
      </c>
      <c r="O119" s="1" t="s">
        <v>19</v>
      </c>
      <c r="P119" t="s">
        <v>19</v>
      </c>
      <c r="Q119">
        <v>1</v>
      </c>
      <c r="R119" t="s">
        <v>19</v>
      </c>
    </row>
    <row r="120" spans="1:18" x14ac:dyDescent="0.2">
      <c r="A120">
        <v>118</v>
      </c>
      <c r="B120" t="s">
        <v>400</v>
      </c>
      <c r="C120" s="2">
        <f>DATE(2025,11,25)</f>
        <v>45986</v>
      </c>
      <c r="D120" s="2">
        <f>DATE(2025,12,5)</f>
        <v>45996</v>
      </c>
      <c r="E120" s="3"/>
      <c r="F120" s="3"/>
      <c r="G120" s="3"/>
      <c r="N120" s="1"/>
      <c r="O120" s="1"/>
    </row>
    <row r="121" spans="1:18" x14ac:dyDescent="0.2">
      <c r="A121">
        <v>119</v>
      </c>
      <c r="B121" t="s">
        <v>401</v>
      </c>
      <c r="C121" s="2">
        <f>DATE(2025,11,28)</f>
        <v>45989</v>
      </c>
      <c r="D121" s="2">
        <f t="shared" ref="D121:D123" si="0">DATE(2025,12,5)</f>
        <v>45996</v>
      </c>
      <c r="E121" s="3"/>
      <c r="F121" s="3"/>
      <c r="G121" s="3"/>
      <c r="N121" s="1"/>
      <c r="O121" s="1"/>
    </row>
    <row r="122" spans="1:18" x14ac:dyDescent="0.2">
      <c r="A122">
        <v>120</v>
      </c>
      <c r="B122" t="s">
        <v>402</v>
      </c>
      <c r="C122" s="2">
        <f>DATE(2025,11,30)</f>
        <v>45991</v>
      </c>
      <c r="D122" s="2">
        <f t="shared" si="0"/>
        <v>45996</v>
      </c>
      <c r="E122" s="3"/>
      <c r="F122" s="3"/>
      <c r="G122" s="3"/>
      <c r="N122" s="1"/>
      <c r="O122" s="1"/>
    </row>
    <row r="123" spans="1:18" x14ac:dyDescent="0.2">
      <c r="A123">
        <v>121</v>
      </c>
      <c r="B123" t="s">
        <v>403</v>
      </c>
      <c r="C123" s="2">
        <f>DATE(2025,11,30)</f>
        <v>45991</v>
      </c>
      <c r="D123" s="2">
        <f t="shared" si="0"/>
        <v>45996</v>
      </c>
      <c r="E123" s="3"/>
      <c r="F123" s="3"/>
      <c r="G123" s="3"/>
      <c r="N123" s="1"/>
      <c r="O123" s="1"/>
    </row>
    <row r="124" spans="1:18" x14ac:dyDescent="0.2">
      <c r="A124">
        <v>122</v>
      </c>
      <c r="B124" t="s">
        <v>407</v>
      </c>
      <c r="C124" s="2">
        <f>DATE(2025,12,5)</f>
        <v>45996</v>
      </c>
      <c r="D124" s="2">
        <f>DATE(2025,12,8)</f>
        <v>45999</v>
      </c>
      <c r="E124" s="3"/>
      <c r="F124" s="3"/>
      <c r="G124" s="3"/>
      <c r="N124" s="1"/>
      <c r="O124" s="1"/>
    </row>
    <row r="125" spans="1:18" x14ac:dyDescent="0.2">
      <c r="A125">
        <v>123</v>
      </c>
      <c r="B125" t="s">
        <v>404</v>
      </c>
      <c r="C125" s="2">
        <f>DATE(2025,12,9)</f>
        <v>46000</v>
      </c>
      <c r="D125" s="2">
        <f>DATE(2025,12,12)</f>
        <v>46003</v>
      </c>
      <c r="E125" s="3"/>
      <c r="F125" s="3"/>
      <c r="G125" s="3"/>
      <c r="N125" s="1"/>
      <c r="O125" s="1"/>
    </row>
    <row r="126" spans="1:18" x14ac:dyDescent="0.2">
      <c r="A126">
        <v>124</v>
      </c>
      <c r="B126" t="s">
        <v>210</v>
      </c>
      <c r="C126" s="2"/>
      <c r="D126" s="2"/>
      <c r="E126" s="3"/>
      <c r="F126" s="3"/>
      <c r="G126" s="3"/>
      <c r="N126" s="1"/>
      <c r="O126" s="1"/>
    </row>
    <row r="127" spans="1:18" x14ac:dyDescent="0.2">
      <c r="A127">
        <v>125</v>
      </c>
      <c r="B127" t="s">
        <v>411</v>
      </c>
      <c r="C127" s="2">
        <f>DATE(2025,12,8)</f>
        <v>45999</v>
      </c>
      <c r="D127" s="2">
        <f>DATE(2025,12,13)</f>
        <v>46004</v>
      </c>
      <c r="E127" s="3">
        <v>2</v>
      </c>
      <c r="F127" s="3">
        <v>0</v>
      </c>
      <c r="G127" s="3" t="s">
        <v>209</v>
      </c>
      <c r="H127" t="s">
        <v>182</v>
      </c>
      <c r="I127" t="s">
        <v>20</v>
      </c>
      <c r="J127" t="s">
        <v>25</v>
      </c>
      <c r="K127" t="s">
        <v>22</v>
      </c>
      <c r="L127" t="s">
        <v>19</v>
      </c>
      <c r="M127" t="s">
        <v>19</v>
      </c>
      <c r="N127" s="1" t="s">
        <v>19</v>
      </c>
      <c r="O127" s="1" t="s">
        <v>19</v>
      </c>
      <c r="P127" t="s">
        <v>19</v>
      </c>
      <c r="Q127">
        <v>2</v>
      </c>
      <c r="R127" t="s">
        <v>19</v>
      </c>
    </row>
    <row r="128" spans="1:18" x14ac:dyDescent="0.2">
      <c r="A128">
        <v>126</v>
      </c>
      <c r="B128" t="s">
        <v>456</v>
      </c>
      <c r="C128" s="2">
        <f>DATE(2026,1,6)</f>
        <v>46028</v>
      </c>
      <c r="D128" s="2">
        <f>DATE(2026,2,6)</f>
        <v>46059</v>
      </c>
      <c r="E128" s="3">
        <v>5</v>
      </c>
      <c r="F128" s="3">
        <v>0</v>
      </c>
      <c r="G128" s="3" t="s">
        <v>211</v>
      </c>
      <c r="H128" t="s">
        <v>188</v>
      </c>
      <c r="I128" t="s">
        <v>20</v>
      </c>
      <c r="J128" t="s">
        <v>25</v>
      </c>
      <c r="K128" t="s">
        <v>22</v>
      </c>
      <c r="L128" t="s">
        <v>19</v>
      </c>
      <c r="M128" t="s">
        <v>19</v>
      </c>
      <c r="N128" s="1" t="s">
        <v>19</v>
      </c>
      <c r="O128" s="1" t="s">
        <v>19</v>
      </c>
      <c r="P128" t="s">
        <v>19</v>
      </c>
      <c r="Q128">
        <v>2</v>
      </c>
      <c r="R128" t="s">
        <v>19</v>
      </c>
    </row>
    <row r="129" spans="1:18" x14ac:dyDescent="0.2">
      <c r="A129">
        <v>127</v>
      </c>
      <c r="B129" t="s">
        <v>457</v>
      </c>
      <c r="C129" s="2">
        <f>DATE(2026,5,8)</f>
        <v>46150</v>
      </c>
      <c r="D129" s="2">
        <f>DATE(2026,5,17)</f>
        <v>46159</v>
      </c>
      <c r="E129" s="3"/>
      <c r="F129" s="3"/>
      <c r="G129" s="3"/>
      <c r="N129" s="1"/>
      <c r="O129" s="1"/>
    </row>
    <row r="130" spans="1:18" x14ac:dyDescent="0.2">
      <c r="A130">
        <v>128</v>
      </c>
      <c r="B130" t="s">
        <v>212</v>
      </c>
      <c r="C130" s="2">
        <f>DATE(2026,5,18)</f>
        <v>46160</v>
      </c>
      <c r="D130" s="2">
        <f>DATE(2026,5,25)</f>
        <v>46167</v>
      </c>
      <c r="E130" s="3">
        <v>2</v>
      </c>
      <c r="F130" s="3">
        <v>0</v>
      </c>
      <c r="G130" s="3" t="s">
        <v>213</v>
      </c>
      <c r="H130" t="s">
        <v>191</v>
      </c>
      <c r="I130" t="s">
        <v>20</v>
      </c>
      <c r="J130" t="s">
        <v>25</v>
      </c>
      <c r="K130" t="s">
        <v>22</v>
      </c>
      <c r="L130" t="s">
        <v>19</v>
      </c>
      <c r="M130" t="s">
        <v>19</v>
      </c>
      <c r="N130" s="1" t="s">
        <v>19</v>
      </c>
      <c r="O130" s="1" t="s">
        <v>19</v>
      </c>
      <c r="P130" t="s">
        <v>19</v>
      </c>
      <c r="Q130">
        <v>2</v>
      </c>
      <c r="R130" t="s">
        <v>19</v>
      </c>
    </row>
    <row r="131" spans="1:18" x14ac:dyDescent="0.2">
      <c r="A131">
        <v>129</v>
      </c>
      <c r="B131" t="s">
        <v>214</v>
      </c>
      <c r="C131" s="2" t="s">
        <v>19</v>
      </c>
      <c r="D131" s="2" t="s">
        <v>19</v>
      </c>
      <c r="E131" s="3" t="s">
        <v>19</v>
      </c>
      <c r="F131" s="3">
        <v>0</v>
      </c>
      <c r="G131" s="3" t="s">
        <v>215</v>
      </c>
      <c r="H131" t="s">
        <v>19</v>
      </c>
      <c r="I131" t="s">
        <v>20</v>
      </c>
      <c r="J131" t="s">
        <v>25</v>
      </c>
      <c r="K131" t="s">
        <v>22</v>
      </c>
      <c r="L131" t="s">
        <v>19</v>
      </c>
      <c r="M131" t="s">
        <v>19</v>
      </c>
      <c r="N131" s="1" t="s">
        <v>19</v>
      </c>
      <c r="O131" s="1" t="s">
        <v>19</v>
      </c>
      <c r="P131" t="s">
        <v>19</v>
      </c>
      <c r="Q131">
        <v>1</v>
      </c>
      <c r="R131" t="s">
        <v>19</v>
      </c>
    </row>
    <row r="132" spans="1:18" x14ac:dyDescent="0.2">
      <c r="A132">
        <v>130</v>
      </c>
      <c r="B132" t="s">
        <v>412</v>
      </c>
      <c r="C132" s="2"/>
      <c r="D132" s="2"/>
      <c r="E132" s="3"/>
      <c r="F132" s="3"/>
      <c r="G132" s="3"/>
      <c r="N132" s="1"/>
      <c r="O132" s="1"/>
    </row>
    <row r="133" spans="1:18" x14ac:dyDescent="0.2">
      <c r="A133">
        <v>131</v>
      </c>
      <c r="B133" t="s">
        <v>414</v>
      </c>
      <c r="C133" s="2"/>
      <c r="D133" s="2"/>
      <c r="E133" s="3"/>
      <c r="F133" s="3"/>
      <c r="G133" s="3"/>
      <c r="N133" s="1"/>
      <c r="O133" s="1"/>
    </row>
    <row r="134" spans="1:18" x14ac:dyDescent="0.2">
      <c r="A134">
        <v>132</v>
      </c>
      <c r="B134" t="s">
        <v>415</v>
      </c>
      <c r="C134" s="2"/>
      <c r="D134" s="2"/>
      <c r="E134" s="3"/>
      <c r="F134" s="3"/>
      <c r="G134" s="3"/>
      <c r="N134" s="1"/>
      <c r="O134" s="1"/>
    </row>
    <row r="135" spans="1:18" x14ac:dyDescent="0.2">
      <c r="A135">
        <v>133</v>
      </c>
      <c r="B135" t="s">
        <v>217</v>
      </c>
      <c r="C135" s="2"/>
      <c r="D135" s="2"/>
      <c r="E135" s="3"/>
      <c r="F135" s="3"/>
      <c r="G135" s="3"/>
      <c r="N135" s="1"/>
      <c r="O135" s="1"/>
    </row>
    <row r="136" spans="1:18" x14ac:dyDescent="0.2">
      <c r="A136">
        <v>134</v>
      </c>
      <c r="B136" t="s">
        <v>413</v>
      </c>
      <c r="C136" s="2"/>
      <c r="D136" s="4"/>
      <c r="E136" s="3">
        <v>2</v>
      </c>
      <c r="F136" s="3">
        <v>0</v>
      </c>
      <c r="G136" s="3" t="s">
        <v>216</v>
      </c>
      <c r="H136" t="s">
        <v>182</v>
      </c>
      <c r="I136" t="s">
        <v>20</v>
      </c>
      <c r="J136" t="s">
        <v>25</v>
      </c>
      <c r="K136" t="s">
        <v>22</v>
      </c>
      <c r="L136" t="s">
        <v>19</v>
      </c>
      <c r="M136" t="s">
        <v>19</v>
      </c>
      <c r="N136" s="1" t="s">
        <v>19</v>
      </c>
      <c r="O136" s="1" t="s">
        <v>19</v>
      </c>
      <c r="P136" t="s">
        <v>19</v>
      </c>
      <c r="Q136">
        <v>2</v>
      </c>
      <c r="R136" t="s">
        <v>19</v>
      </c>
    </row>
    <row r="137" spans="1:18" x14ac:dyDescent="0.2">
      <c r="A137">
        <v>135</v>
      </c>
      <c r="B137" t="s">
        <v>458</v>
      </c>
      <c r="C137" s="2"/>
      <c r="D137" s="2"/>
      <c r="E137" s="3">
        <v>5</v>
      </c>
      <c r="F137" s="3">
        <v>0</v>
      </c>
      <c r="G137" s="3" t="s">
        <v>218</v>
      </c>
      <c r="H137" t="s">
        <v>188</v>
      </c>
      <c r="I137" t="s">
        <v>20</v>
      </c>
      <c r="J137" t="s">
        <v>25</v>
      </c>
      <c r="K137" t="s">
        <v>22</v>
      </c>
      <c r="L137" t="s">
        <v>19</v>
      </c>
      <c r="M137" t="s">
        <v>19</v>
      </c>
      <c r="N137" s="1" t="s">
        <v>19</v>
      </c>
      <c r="O137" s="1" t="s">
        <v>19</v>
      </c>
      <c r="P137" t="s">
        <v>19</v>
      </c>
      <c r="Q137">
        <v>2</v>
      </c>
      <c r="R137" t="s">
        <v>19</v>
      </c>
    </row>
    <row r="138" spans="1:18" x14ac:dyDescent="0.2">
      <c r="A138">
        <v>136</v>
      </c>
      <c r="B138" t="s">
        <v>459</v>
      </c>
      <c r="C138" s="2"/>
      <c r="D138" s="2"/>
      <c r="E138" s="3"/>
      <c r="F138" s="3"/>
      <c r="G138" s="3"/>
      <c r="N138" s="1"/>
      <c r="O138" s="1"/>
    </row>
    <row r="139" spans="1:18" x14ac:dyDescent="0.2">
      <c r="A139">
        <v>137</v>
      </c>
      <c r="B139" t="s">
        <v>219</v>
      </c>
      <c r="C139" s="2" t="s">
        <v>19</v>
      </c>
      <c r="D139" s="2" t="s">
        <v>19</v>
      </c>
      <c r="E139" s="3">
        <v>2</v>
      </c>
      <c r="F139" s="3">
        <v>0</v>
      </c>
      <c r="G139" s="3" t="s">
        <v>220</v>
      </c>
      <c r="H139" t="s">
        <v>191</v>
      </c>
      <c r="I139" t="s">
        <v>20</v>
      </c>
      <c r="J139" t="s">
        <v>25</v>
      </c>
      <c r="K139" t="s">
        <v>22</v>
      </c>
      <c r="L139" t="s">
        <v>19</v>
      </c>
      <c r="M139" t="s">
        <v>19</v>
      </c>
      <c r="N139" s="1" t="s">
        <v>19</v>
      </c>
      <c r="O139" s="1" t="s">
        <v>19</v>
      </c>
      <c r="P139" t="s">
        <v>19</v>
      </c>
      <c r="Q139">
        <v>2</v>
      </c>
      <c r="R139" t="s">
        <v>19</v>
      </c>
    </row>
    <row r="140" spans="1:18" x14ac:dyDescent="0.2">
      <c r="A140">
        <v>138</v>
      </c>
      <c r="B140" t="s">
        <v>426</v>
      </c>
      <c r="C140" s="2" t="s">
        <v>19</v>
      </c>
      <c r="D140" s="2" t="s">
        <v>19</v>
      </c>
      <c r="E140" s="3" t="s">
        <v>19</v>
      </c>
      <c r="F140" s="3">
        <v>0</v>
      </c>
      <c r="G140" s="3" t="s">
        <v>221</v>
      </c>
      <c r="H140" t="s">
        <v>19</v>
      </c>
      <c r="I140" t="s">
        <v>20</v>
      </c>
      <c r="J140" t="s">
        <v>25</v>
      </c>
      <c r="K140" t="s">
        <v>22</v>
      </c>
      <c r="L140" t="s">
        <v>19</v>
      </c>
      <c r="M140" t="s">
        <v>19</v>
      </c>
      <c r="N140" s="1" t="s">
        <v>19</v>
      </c>
      <c r="O140" s="1" t="s">
        <v>19</v>
      </c>
      <c r="P140" t="s">
        <v>19</v>
      </c>
      <c r="Q140">
        <v>1</v>
      </c>
      <c r="R140" t="s">
        <v>19</v>
      </c>
    </row>
    <row r="141" spans="1:18" x14ac:dyDescent="0.2">
      <c r="A141">
        <v>139</v>
      </c>
      <c r="B141" t="s">
        <v>427</v>
      </c>
      <c r="C141" s="2">
        <f>DATE(2025,11,27)</f>
        <v>45988</v>
      </c>
      <c r="D141" s="2">
        <f>DATE(2025,12,2)</f>
        <v>45993</v>
      </c>
      <c r="E141" s="3"/>
      <c r="F141" s="3"/>
      <c r="G141" s="3"/>
      <c r="N141" s="1"/>
      <c r="O141" s="1"/>
    </row>
    <row r="142" spans="1:18" x14ac:dyDescent="0.2">
      <c r="A142">
        <v>140</v>
      </c>
      <c r="B142" t="s">
        <v>428</v>
      </c>
      <c r="C142" s="2">
        <f>DATE(2025,12,3)</f>
        <v>45994</v>
      </c>
      <c r="D142" s="2">
        <f>DATE(2025,12,5)</f>
        <v>45996</v>
      </c>
      <c r="E142" s="3"/>
      <c r="F142" s="3"/>
      <c r="G142" s="3"/>
      <c r="N142" s="1"/>
      <c r="O142" s="1"/>
    </row>
    <row r="143" spans="1:18" x14ac:dyDescent="0.2">
      <c r="A143">
        <v>141</v>
      </c>
      <c r="B143" t="s">
        <v>429</v>
      </c>
      <c r="C143" s="2">
        <f>DATE(2025,12,5)</f>
        <v>45996</v>
      </c>
      <c r="D143" s="2">
        <f>DATE(2025,12,8)</f>
        <v>45999</v>
      </c>
      <c r="E143" s="3"/>
      <c r="F143" s="3"/>
      <c r="G143" s="3"/>
      <c r="N143" s="1"/>
      <c r="O143" s="1"/>
    </row>
    <row r="144" spans="1:18" x14ac:dyDescent="0.2">
      <c r="A144">
        <v>142</v>
      </c>
      <c r="B144" t="s">
        <v>430</v>
      </c>
      <c r="C144" s="2"/>
      <c r="D144" s="2"/>
      <c r="E144" s="3"/>
      <c r="F144" s="3"/>
      <c r="G144" s="3"/>
      <c r="N144" s="1"/>
      <c r="O144" s="1"/>
    </row>
    <row r="145" spans="1:18" x14ac:dyDescent="0.2">
      <c r="A145">
        <v>143</v>
      </c>
      <c r="B145" t="s">
        <v>416</v>
      </c>
      <c r="C145" s="2">
        <f>DATE(2026,1,27)</f>
        <v>46049</v>
      </c>
      <c r="D145" s="2">
        <f>DATE(2026,1,1)</f>
        <v>46023</v>
      </c>
      <c r="E145" s="3">
        <v>2</v>
      </c>
      <c r="F145" s="3">
        <v>0</v>
      </c>
      <c r="G145" s="3" t="s">
        <v>222</v>
      </c>
      <c r="H145" t="s">
        <v>182</v>
      </c>
      <c r="I145" t="s">
        <v>20</v>
      </c>
      <c r="J145" t="s">
        <v>25</v>
      </c>
      <c r="K145" t="s">
        <v>22</v>
      </c>
      <c r="L145" t="s">
        <v>19</v>
      </c>
      <c r="M145" t="s">
        <v>19</v>
      </c>
      <c r="N145" s="1" t="s">
        <v>19</v>
      </c>
      <c r="O145" s="1" t="s">
        <v>19</v>
      </c>
      <c r="P145" t="s">
        <v>19</v>
      </c>
      <c r="Q145">
        <v>2</v>
      </c>
      <c r="R145" t="s">
        <v>19</v>
      </c>
    </row>
    <row r="146" spans="1:18" x14ac:dyDescent="0.2">
      <c r="A146">
        <v>144</v>
      </c>
      <c r="B146" t="s">
        <v>460</v>
      </c>
      <c r="C146" s="2">
        <f>DATE(2025,12,2)</f>
        <v>45993</v>
      </c>
      <c r="D146" s="2">
        <f>DATE(2026,1,2)</f>
        <v>46024</v>
      </c>
      <c r="E146" s="3">
        <v>5</v>
      </c>
      <c r="F146" s="3">
        <v>0</v>
      </c>
      <c r="G146" s="3" t="s">
        <v>223</v>
      </c>
      <c r="H146" t="s">
        <v>188</v>
      </c>
      <c r="I146" t="s">
        <v>20</v>
      </c>
      <c r="J146" t="s">
        <v>25</v>
      </c>
      <c r="K146" t="s">
        <v>22</v>
      </c>
      <c r="L146" t="s">
        <v>19</v>
      </c>
      <c r="M146" t="s">
        <v>19</v>
      </c>
      <c r="N146" s="1" t="s">
        <v>19</v>
      </c>
      <c r="O146" s="1" t="s">
        <v>19</v>
      </c>
      <c r="P146" t="s">
        <v>19</v>
      </c>
      <c r="Q146">
        <v>2</v>
      </c>
      <c r="R146" t="s">
        <v>19</v>
      </c>
    </row>
    <row r="147" spans="1:18" x14ac:dyDescent="0.2">
      <c r="A147">
        <v>145</v>
      </c>
      <c r="B147" t="s">
        <v>461</v>
      </c>
      <c r="C147" s="2">
        <f>DATE(2026,5,8)</f>
        <v>46150</v>
      </c>
      <c r="D147" s="2">
        <f>DATE(2026,5,17)</f>
        <v>46159</v>
      </c>
      <c r="E147" s="3"/>
      <c r="F147" s="3"/>
      <c r="G147" s="3"/>
      <c r="N147" s="1"/>
      <c r="O147" s="1"/>
    </row>
    <row r="148" spans="1:18" x14ac:dyDescent="0.2">
      <c r="A148">
        <v>146</v>
      </c>
      <c r="B148" t="s">
        <v>431</v>
      </c>
      <c r="C148" s="2">
        <f>DATE(2026,5,18)</f>
        <v>46160</v>
      </c>
      <c r="D148" s="2">
        <f>DATE(2026,5,25)</f>
        <v>46167</v>
      </c>
      <c r="E148" s="3">
        <v>2</v>
      </c>
      <c r="F148" s="3">
        <v>0</v>
      </c>
      <c r="G148" s="3" t="s">
        <v>224</v>
      </c>
      <c r="H148" t="s">
        <v>191</v>
      </c>
      <c r="I148" t="s">
        <v>20</v>
      </c>
      <c r="J148" t="s">
        <v>25</v>
      </c>
      <c r="K148" t="s">
        <v>22</v>
      </c>
      <c r="L148" t="s">
        <v>19</v>
      </c>
      <c r="M148" t="s">
        <v>19</v>
      </c>
      <c r="N148" s="1" t="s">
        <v>19</v>
      </c>
      <c r="O148" s="1" t="s">
        <v>19</v>
      </c>
      <c r="P148" t="s">
        <v>19</v>
      </c>
      <c r="Q148">
        <v>2</v>
      </c>
      <c r="R148" t="s">
        <v>19</v>
      </c>
    </row>
    <row r="149" spans="1:18" x14ac:dyDescent="0.2">
      <c r="A149">
        <v>147</v>
      </c>
      <c r="B149" t="s">
        <v>225</v>
      </c>
      <c r="C149" s="2" t="s">
        <v>19</v>
      </c>
      <c r="D149" s="2" t="s">
        <v>19</v>
      </c>
      <c r="E149" s="3" t="s">
        <v>19</v>
      </c>
      <c r="F149" s="3">
        <v>0</v>
      </c>
      <c r="G149" s="3" t="s">
        <v>226</v>
      </c>
      <c r="H149" t="s">
        <v>19</v>
      </c>
      <c r="I149" t="s">
        <v>20</v>
      </c>
      <c r="J149" t="s">
        <v>25</v>
      </c>
      <c r="K149" t="s">
        <v>22</v>
      </c>
      <c r="L149" t="s">
        <v>19</v>
      </c>
      <c r="M149" t="s">
        <v>19</v>
      </c>
      <c r="N149" s="1" t="s">
        <v>19</v>
      </c>
      <c r="O149" s="1" t="s">
        <v>19</v>
      </c>
      <c r="P149" t="s">
        <v>19</v>
      </c>
      <c r="Q149">
        <v>1</v>
      </c>
      <c r="R149" t="s">
        <v>19</v>
      </c>
    </row>
    <row r="150" spans="1:18" x14ac:dyDescent="0.2">
      <c r="A150">
        <v>148</v>
      </c>
      <c r="B150" t="s">
        <v>432</v>
      </c>
      <c r="C150" s="2">
        <f>DATE(2025,11,9)</f>
        <v>45970</v>
      </c>
      <c r="D150" s="2">
        <f>DATE(2025,11,11)</f>
        <v>45972</v>
      </c>
      <c r="E150" s="3"/>
      <c r="F150" s="3"/>
      <c r="G150" s="3"/>
      <c r="N150" s="1"/>
      <c r="O150" s="1"/>
    </row>
    <row r="151" spans="1:18" x14ac:dyDescent="0.2">
      <c r="A151">
        <v>149</v>
      </c>
      <c r="B151" t="s">
        <v>433</v>
      </c>
      <c r="C151" s="2">
        <f>DATE(2025,11,11)</f>
        <v>45972</v>
      </c>
      <c r="D151" s="2">
        <f>DATE(2025,11,11)</f>
        <v>45972</v>
      </c>
      <c r="E151" s="3"/>
      <c r="F151" s="3"/>
      <c r="G151" s="3"/>
      <c r="N151" s="1"/>
      <c r="O151" s="1"/>
    </row>
    <row r="152" spans="1:18" x14ac:dyDescent="0.2">
      <c r="A152">
        <v>150</v>
      </c>
      <c r="B152" t="s">
        <v>434</v>
      </c>
      <c r="C152" s="2">
        <f>DATE(2025,11,11)</f>
        <v>45972</v>
      </c>
      <c r="D152" s="2">
        <f>DATE(2025,11,11)</f>
        <v>45972</v>
      </c>
      <c r="E152" s="3"/>
      <c r="F152" s="3"/>
      <c r="G152" s="3"/>
      <c r="N152" s="1"/>
      <c r="O152" s="1"/>
    </row>
    <row r="153" spans="1:18" x14ac:dyDescent="0.2">
      <c r="A153">
        <v>151</v>
      </c>
      <c r="B153" t="s">
        <v>228</v>
      </c>
      <c r="C153" s="2"/>
      <c r="D153" s="2"/>
      <c r="E153" s="3"/>
      <c r="F153" s="3"/>
      <c r="G153" s="3"/>
      <c r="N153" s="1"/>
      <c r="O153" s="1"/>
    </row>
    <row r="154" spans="1:18" x14ac:dyDescent="0.2">
      <c r="A154">
        <v>152</v>
      </c>
      <c r="B154" t="s">
        <v>417</v>
      </c>
      <c r="C154" s="2" t="s">
        <v>19</v>
      </c>
      <c r="D154" s="2" t="s">
        <v>19</v>
      </c>
      <c r="E154" s="3">
        <v>2</v>
      </c>
      <c r="F154" s="3">
        <v>0</v>
      </c>
      <c r="G154" s="3" t="s">
        <v>227</v>
      </c>
      <c r="H154" t="s">
        <v>182</v>
      </c>
      <c r="I154" t="s">
        <v>20</v>
      </c>
      <c r="J154" t="s">
        <v>25</v>
      </c>
      <c r="K154" t="s">
        <v>22</v>
      </c>
      <c r="L154" t="s">
        <v>19</v>
      </c>
      <c r="M154" t="s">
        <v>19</v>
      </c>
      <c r="N154" s="1" t="s">
        <v>19</v>
      </c>
      <c r="O154" s="1" t="s">
        <v>19</v>
      </c>
      <c r="P154" t="s">
        <v>19</v>
      </c>
      <c r="Q154">
        <v>2</v>
      </c>
      <c r="R154" t="s">
        <v>19</v>
      </c>
    </row>
    <row r="155" spans="1:18" x14ac:dyDescent="0.2">
      <c r="A155">
        <v>153</v>
      </c>
      <c r="B155" t="s">
        <v>462</v>
      </c>
      <c r="C155" s="2">
        <f>DATE(2025,12,2)</f>
        <v>45993</v>
      </c>
      <c r="D155" s="2">
        <f>DATE(2026,1,2)</f>
        <v>46024</v>
      </c>
      <c r="E155" s="3">
        <v>5</v>
      </c>
      <c r="F155" s="3">
        <v>0</v>
      </c>
      <c r="G155" s="3" t="s">
        <v>229</v>
      </c>
      <c r="H155" t="s">
        <v>188</v>
      </c>
      <c r="I155" t="s">
        <v>20</v>
      </c>
      <c r="J155" t="s">
        <v>25</v>
      </c>
      <c r="K155" t="s">
        <v>22</v>
      </c>
      <c r="L155" t="s">
        <v>19</v>
      </c>
      <c r="M155" t="s">
        <v>19</v>
      </c>
      <c r="N155" s="1" t="s">
        <v>19</v>
      </c>
      <c r="O155" s="1" t="s">
        <v>19</v>
      </c>
      <c r="P155" t="s">
        <v>19</v>
      </c>
      <c r="Q155">
        <v>2</v>
      </c>
      <c r="R155" t="s">
        <v>19</v>
      </c>
    </row>
    <row r="156" spans="1:18" x14ac:dyDescent="0.2">
      <c r="A156">
        <v>154</v>
      </c>
      <c r="B156" t="s">
        <v>463</v>
      </c>
      <c r="C156" s="2">
        <f>DATE(2026,5,8)</f>
        <v>46150</v>
      </c>
      <c r="D156" s="2">
        <f>DATE(2026,5,17)</f>
        <v>46159</v>
      </c>
      <c r="E156" s="3"/>
      <c r="F156" s="3"/>
      <c r="G156" s="3"/>
      <c r="N156" s="1"/>
      <c r="O156" s="1"/>
    </row>
    <row r="157" spans="1:18" x14ac:dyDescent="0.2">
      <c r="A157">
        <v>155</v>
      </c>
      <c r="B157" t="s">
        <v>230</v>
      </c>
      <c r="C157" s="2">
        <f>DATE(2026,5,18)</f>
        <v>46160</v>
      </c>
      <c r="D157" s="2">
        <f>DATE(2026,5,25)</f>
        <v>46167</v>
      </c>
      <c r="E157" s="3">
        <v>2</v>
      </c>
      <c r="F157" s="3">
        <v>0</v>
      </c>
      <c r="G157" s="3" t="s">
        <v>231</v>
      </c>
      <c r="H157" t="s">
        <v>191</v>
      </c>
      <c r="I157" t="s">
        <v>20</v>
      </c>
      <c r="J157" t="s">
        <v>25</v>
      </c>
      <c r="K157" t="s">
        <v>22</v>
      </c>
      <c r="L157" t="s">
        <v>19</v>
      </c>
      <c r="M157" t="s">
        <v>19</v>
      </c>
      <c r="N157" s="1" t="s">
        <v>19</v>
      </c>
      <c r="O157" s="1" t="s">
        <v>19</v>
      </c>
      <c r="P157" t="s">
        <v>19</v>
      </c>
      <c r="Q157">
        <v>2</v>
      </c>
      <c r="R157" t="s">
        <v>19</v>
      </c>
    </row>
    <row r="158" spans="1:18" x14ac:dyDescent="0.2">
      <c r="A158">
        <v>156</v>
      </c>
      <c r="B158" t="s">
        <v>419</v>
      </c>
      <c r="C158" s="2" t="s">
        <v>19</v>
      </c>
      <c r="D158" s="2" t="s">
        <v>19</v>
      </c>
      <c r="E158" s="3" t="s">
        <v>19</v>
      </c>
      <c r="F158" s="3">
        <v>0</v>
      </c>
      <c r="G158" s="3" t="s">
        <v>232</v>
      </c>
      <c r="H158" t="s">
        <v>19</v>
      </c>
      <c r="I158" t="s">
        <v>20</v>
      </c>
      <c r="J158" t="s">
        <v>25</v>
      </c>
      <c r="K158" t="s">
        <v>22</v>
      </c>
      <c r="L158" t="s">
        <v>19</v>
      </c>
      <c r="M158" t="s">
        <v>19</v>
      </c>
      <c r="N158" s="1" t="s">
        <v>19</v>
      </c>
      <c r="O158" s="1" t="s">
        <v>19</v>
      </c>
      <c r="P158" t="s">
        <v>19</v>
      </c>
      <c r="Q158">
        <v>1</v>
      </c>
      <c r="R158" t="s">
        <v>19</v>
      </c>
    </row>
    <row r="159" spans="1:18" x14ac:dyDescent="0.2">
      <c r="A159">
        <v>157</v>
      </c>
      <c r="B159" t="s">
        <v>418</v>
      </c>
      <c r="C159" s="2"/>
      <c r="D159" s="2"/>
      <c r="E159" s="3"/>
      <c r="F159" s="3"/>
      <c r="G159" s="3"/>
      <c r="N159" s="1"/>
      <c r="O159" s="1"/>
    </row>
    <row r="160" spans="1:18" x14ac:dyDescent="0.2">
      <c r="A160">
        <v>158</v>
      </c>
      <c r="B160" t="s">
        <v>420</v>
      </c>
      <c r="C160" s="2"/>
      <c r="D160" s="2"/>
      <c r="E160" s="3"/>
      <c r="F160" s="3"/>
      <c r="G160" s="3"/>
      <c r="N160" s="1"/>
      <c r="O160" s="1"/>
    </row>
    <row r="161" spans="1:18" x14ac:dyDescent="0.2">
      <c r="A161">
        <v>159</v>
      </c>
      <c r="B161" t="s">
        <v>421</v>
      </c>
      <c r="C161" s="2"/>
      <c r="D161" s="2"/>
      <c r="E161" s="3"/>
      <c r="F161" s="3"/>
      <c r="G161" s="3"/>
      <c r="N161" s="1"/>
      <c r="O161" s="1"/>
    </row>
    <row r="162" spans="1:18" x14ac:dyDescent="0.2">
      <c r="A162">
        <v>160</v>
      </c>
      <c r="B162" t="s">
        <v>423</v>
      </c>
      <c r="C162" s="2"/>
      <c r="D162" s="2"/>
      <c r="E162" s="3"/>
      <c r="F162" s="3"/>
      <c r="G162" s="3"/>
      <c r="N162" s="1"/>
      <c r="O162" s="1"/>
    </row>
    <row r="163" spans="1:18" x14ac:dyDescent="0.2">
      <c r="A163">
        <v>161</v>
      </c>
      <c r="B163" t="s">
        <v>422</v>
      </c>
      <c r="C163" s="2" t="s">
        <v>19</v>
      </c>
      <c r="D163" s="2" t="s">
        <v>19</v>
      </c>
      <c r="E163" s="3">
        <v>2</v>
      </c>
      <c r="F163" s="3">
        <v>0</v>
      </c>
      <c r="G163" s="3" t="s">
        <v>233</v>
      </c>
      <c r="H163" t="s">
        <v>182</v>
      </c>
      <c r="I163" t="s">
        <v>20</v>
      </c>
      <c r="J163" t="s">
        <v>25</v>
      </c>
      <c r="K163" t="s">
        <v>22</v>
      </c>
      <c r="L163" t="s">
        <v>19</v>
      </c>
      <c r="M163" t="s">
        <v>19</v>
      </c>
      <c r="N163" s="1" t="s">
        <v>19</v>
      </c>
      <c r="O163" s="1" t="s">
        <v>19</v>
      </c>
      <c r="P163" t="s">
        <v>19</v>
      </c>
      <c r="Q163">
        <v>2</v>
      </c>
      <c r="R163" t="s">
        <v>19</v>
      </c>
    </row>
    <row r="164" spans="1:18" x14ac:dyDescent="0.2">
      <c r="A164">
        <v>162</v>
      </c>
      <c r="B164" t="s">
        <v>424</v>
      </c>
      <c r="C164" s="2" t="s">
        <v>19</v>
      </c>
      <c r="D164" s="2" t="s">
        <v>19</v>
      </c>
      <c r="E164" s="3">
        <v>5</v>
      </c>
      <c r="F164" s="3">
        <v>0</v>
      </c>
      <c r="G164" s="3" t="s">
        <v>234</v>
      </c>
      <c r="H164" t="s">
        <v>188</v>
      </c>
      <c r="I164" t="s">
        <v>20</v>
      </c>
      <c r="J164" t="s">
        <v>25</v>
      </c>
      <c r="K164" t="s">
        <v>22</v>
      </c>
      <c r="L164" t="s">
        <v>19</v>
      </c>
      <c r="M164" t="s">
        <v>19</v>
      </c>
      <c r="N164" s="1" t="s">
        <v>19</v>
      </c>
      <c r="O164" s="1" t="s">
        <v>19</v>
      </c>
      <c r="P164" t="s">
        <v>19</v>
      </c>
      <c r="Q164">
        <v>2</v>
      </c>
      <c r="R164" t="s">
        <v>19</v>
      </c>
    </row>
    <row r="165" spans="1:18" x14ac:dyDescent="0.2">
      <c r="A165">
        <v>163</v>
      </c>
      <c r="B165" t="s">
        <v>425</v>
      </c>
      <c r="C165" s="2" t="s">
        <v>19</v>
      </c>
      <c r="D165" s="2" t="s">
        <v>19</v>
      </c>
      <c r="E165" s="3">
        <v>2</v>
      </c>
      <c r="F165" s="3">
        <v>0</v>
      </c>
      <c r="G165" s="3" t="s">
        <v>235</v>
      </c>
      <c r="H165" t="s">
        <v>191</v>
      </c>
      <c r="I165" t="s">
        <v>20</v>
      </c>
      <c r="J165" t="s">
        <v>25</v>
      </c>
      <c r="K165" t="s">
        <v>22</v>
      </c>
      <c r="L165" t="s">
        <v>19</v>
      </c>
      <c r="M165" t="s">
        <v>19</v>
      </c>
      <c r="N165" s="1" t="s">
        <v>19</v>
      </c>
      <c r="O165" s="1" t="s">
        <v>19</v>
      </c>
      <c r="P165" t="s">
        <v>19</v>
      </c>
      <c r="Q165">
        <v>2</v>
      </c>
      <c r="R165" t="s">
        <v>19</v>
      </c>
    </row>
    <row r="166" spans="1:18" x14ac:dyDescent="0.2">
      <c r="A166">
        <v>164</v>
      </c>
      <c r="B166" t="s">
        <v>236</v>
      </c>
      <c r="C166" s="2" t="s">
        <v>19</v>
      </c>
      <c r="D166" s="2" t="s">
        <v>19</v>
      </c>
      <c r="E166" s="3" t="s">
        <v>19</v>
      </c>
      <c r="F166" s="3">
        <v>0</v>
      </c>
      <c r="G166" s="3" t="s">
        <v>237</v>
      </c>
      <c r="H166" t="s">
        <v>19</v>
      </c>
      <c r="I166" t="s">
        <v>20</v>
      </c>
      <c r="J166" t="s">
        <v>25</v>
      </c>
      <c r="K166" t="s">
        <v>22</v>
      </c>
      <c r="L166" t="s">
        <v>19</v>
      </c>
      <c r="M166" t="s">
        <v>19</v>
      </c>
      <c r="N166" s="1" t="s">
        <v>19</v>
      </c>
      <c r="O166" s="1" t="s">
        <v>19</v>
      </c>
      <c r="P166" t="s">
        <v>19</v>
      </c>
      <c r="Q166">
        <v>1</v>
      </c>
      <c r="R166" t="s">
        <v>19</v>
      </c>
    </row>
    <row r="167" spans="1:18" x14ac:dyDescent="0.2">
      <c r="A167">
        <v>165</v>
      </c>
      <c r="B167" t="s">
        <v>435</v>
      </c>
      <c r="C167" s="2">
        <f>DATE(2025,12,5)</f>
        <v>45996</v>
      </c>
      <c r="D167" s="2">
        <f>DATE(2025,12,6)</f>
        <v>45997</v>
      </c>
      <c r="E167" s="3">
        <v>2</v>
      </c>
      <c r="F167" s="3">
        <v>0</v>
      </c>
      <c r="G167" s="3" t="s">
        <v>238</v>
      </c>
      <c r="H167" t="s">
        <v>182</v>
      </c>
      <c r="I167" t="s">
        <v>20</v>
      </c>
      <c r="J167" t="s">
        <v>25</v>
      </c>
      <c r="K167" t="s">
        <v>22</v>
      </c>
      <c r="L167" t="s">
        <v>19</v>
      </c>
      <c r="M167" t="s">
        <v>19</v>
      </c>
      <c r="N167" s="1" t="s">
        <v>19</v>
      </c>
      <c r="O167" s="1" t="s">
        <v>19</v>
      </c>
      <c r="P167" t="s">
        <v>19</v>
      </c>
      <c r="Q167">
        <v>2</v>
      </c>
      <c r="R167" t="s">
        <v>19</v>
      </c>
    </row>
    <row r="168" spans="1:18" x14ac:dyDescent="0.2">
      <c r="A168">
        <v>166</v>
      </c>
      <c r="B168" t="s">
        <v>239</v>
      </c>
      <c r="C168" s="2"/>
      <c r="D168" s="2"/>
      <c r="E168" s="3"/>
      <c r="F168" s="3"/>
      <c r="G168" s="3"/>
      <c r="N168" s="1"/>
      <c r="O168" s="1"/>
    </row>
    <row r="169" spans="1:18" x14ac:dyDescent="0.2">
      <c r="A169">
        <v>167</v>
      </c>
      <c r="B169" t="s">
        <v>436</v>
      </c>
      <c r="C169" s="2"/>
      <c r="D169" s="2"/>
      <c r="E169" s="3"/>
      <c r="F169" s="3"/>
      <c r="G169" s="3"/>
      <c r="N169" s="1"/>
      <c r="O169" s="1"/>
    </row>
    <row r="170" spans="1:18" x14ac:dyDescent="0.2">
      <c r="A170">
        <v>168</v>
      </c>
      <c r="B170" t="s">
        <v>453</v>
      </c>
      <c r="C170" s="2">
        <f>DATE(2025,12,7)</f>
        <v>45998</v>
      </c>
      <c r="D170" s="2">
        <f>DATE(2026,2,10)</f>
        <v>46063</v>
      </c>
      <c r="E170" s="3"/>
      <c r="F170" s="3"/>
      <c r="G170" s="3"/>
      <c r="N170" s="1"/>
      <c r="O170" s="1"/>
    </row>
    <row r="171" spans="1:18" x14ac:dyDescent="0.2">
      <c r="A171">
        <v>169</v>
      </c>
      <c r="B171" t="s">
        <v>437</v>
      </c>
      <c r="C171" s="2" t="s">
        <v>19</v>
      </c>
      <c r="D171" s="2" t="s">
        <v>19</v>
      </c>
      <c r="E171" s="3">
        <v>5</v>
      </c>
      <c r="F171" s="3">
        <v>0</v>
      </c>
      <c r="G171" s="3" t="s">
        <v>240</v>
      </c>
      <c r="H171" t="s">
        <v>188</v>
      </c>
      <c r="I171" t="s">
        <v>20</v>
      </c>
      <c r="J171" t="s">
        <v>25</v>
      </c>
      <c r="K171" t="s">
        <v>22</v>
      </c>
      <c r="L171" t="s">
        <v>19</v>
      </c>
      <c r="M171" t="s">
        <v>19</v>
      </c>
      <c r="N171" s="1" t="s">
        <v>19</v>
      </c>
      <c r="O171" s="1" t="s">
        <v>19</v>
      </c>
      <c r="P171" t="s">
        <v>19</v>
      </c>
      <c r="Q171">
        <v>2</v>
      </c>
      <c r="R171" t="s">
        <v>19</v>
      </c>
    </row>
    <row r="172" spans="1:18" x14ac:dyDescent="0.2">
      <c r="A172">
        <v>170</v>
      </c>
      <c r="B172" t="s">
        <v>241</v>
      </c>
      <c r="C172" s="2" t="s">
        <v>19</v>
      </c>
      <c r="D172" s="2" t="s">
        <v>19</v>
      </c>
      <c r="E172" s="3">
        <v>2</v>
      </c>
      <c r="F172" s="3">
        <v>0</v>
      </c>
      <c r="G172" s="3" t="s">
        <v>242</v>
      </c>
      <c r="H172" t="s">
        <v>191</v>
      </c>
      <c r="I172" t="s">
        <v>20</v>
      </c>
      <c r="J172" t="s">
        <v>25</v>
      </c>
      <c r="K172" t="s">
        <v>22</v>
      </c>
      <c r="L172" t="s">
        <v>19</v>
      </c>
      <c r="M172" t="s">
        <v>19</v>
      </c>
      <c r="N172" s="1" t="s">
        <v>19</v>
      </c>
      <c r="O172" s="1" t="s">
        <v>19</v>
      </c>
      <c r="P172" t="s">
        <v>19</v>
      </c>
      <c r="Q172">
        <v>2</v>
      </c>
      <c r="R172" t="s">
        <v>19</v>
      </c>
    </row>
    <row r="173" spans="1:18" x14ac:dyDescent="0.2">
      <c r="A173">
        <v>171</v>
      </c>
      <c r="B173" t="s">
        <v>243</v>
      </c>
      <c r="C173" s="2" t="s">
        <v>19</v>
      </c>
      <c r="D173" s="2" t="s">
        <v>19</v>
      </c>
      <c r="E173" s="3" t="s">
        <v>19</v>
      </c>
      <c r="F173" s="3">
        <v>0</v>
      </c>
      <c r="G173" s="3" t="s">
        <v>244</v>
      </c>
      <c r="H173" t="s">
        <v>19</v>
      </c>
      <c r="I173" t="s">
        <v>20</v>
      </c>
      <c r="J173" t="s">
        <v>25</v>
      </c>
      <c r="K173" t="s">
        <v>22</v>
      </c>
      <c r="L173" t="s">
        <v>19</v>
      </c>
      <c r="M173" t="s">
        <v>19</v>
      </c>
      <c r="N173" s="1" t="s">
        <v>19</v>
      </c>
      <c r="O173" s="1" t="s">
        <v>19</v>
      </c>
      <c r="P173" t="s">
        <v>19</v>
      </c>
      <c r="Q173">
        <v>1</v>
      </c>
      <c r="R173" t="s">
        <v>19</v>
      </c>
    </row>
    <row r="174" spans="1:18" x14ac:dyDescent="0.2">
      <c r="A174">
        <v>172</v>
      </c>
      <c r="B174" t="s">
        <v>246</v>
      </c>
      <c r="C174" s="2"/>
      <c r="D174" s="2"/>
      <c r="E174" s="3"/>
      <c r="F174" s="3"/>
      <c r="G174" s="3"/>
      <c r="N174" s="1"/>
      <c r="O174" s="1"/>
    </row>
    <row r="175" spans="1:18" x14ac:dyDescent="0.2">
      <c r="A175">
        <v>173</v>
      </c>
      <c r="B175" t="s">
        <v>445</v>
      </c>
      <c r="C175" s="2" t="s">
        <v>19</v>
      </c>
      <c r="D175" s="2" t="s">
        <v>19</v>
      </c>
      <c r="E175" s="3">
        <v>2</v>
      </c>
      <c r="F175" s="3">
        <v>0</v>
      </c>
      <c r="G175" s="3" t="s">
        <v>245</v>
      </c>
      <c r="H175" t="s">
        <v>182</v>
      </c>
      <c r="I175" t="s">
        <v>20</v>
      </c>
      <c r="J175" t="s">
        <v>25</v>
      </c>
      <c r="K175" t="s">
        <v>22</v>
      </c>
      <c r="L175" t="s">
        <v>19</v>
      </c>
      <c r="M175" t="s">
        <v>19</v>
      </c>
      <c r="N175" s="1" t="s">
        <v>19</v>
      </c>
      <c r="O175" s="1" t="s">
        <v>19</v>
      </c>
      <c r="P175" t="s">
        <v>19</v>
      </c>
      <c r="Q175">
        <v>2</v>
      </c>
      <c r="R175" t="s">
        <v>19</v>
      </c>
    </row>
    <row r="176" spans="1:18" x14ac:dyDescent="0.2">
      <c r="A176">
        <v>174</v>
      </c>
      <c r="B176" t="s">
        <v>247</v>
      </c>
      <c r="C176" s="2" t="s">
        <v>19</v>
      </c>
      <c r="D176" s="2" t="s">
        <v>19</v>
      </c>
      <c r="E176" s="3">
        <v>5</v>
      </c>
      <c r="F176" s="3">
        <v>0</v>
      </c>
      <c r="G176" s="3" t="s">
        <v>248</v>
      </c>
      <c r="H176" t="s">
        <v>188</v>
      </c>
      <c r="I176" t="s">
        <v>20</v>
      </c>
      <c r="J176" t="s">
        <v>25</v>
      </c>
      <c r="K176" t="s">
        <v>22</v>
      </c>
      <c r="L176" t="s">
        <v>19</v>
      </c>
      <c r="M176" t="s">
        <v>19</v>
      </c>
      <c r="N176" s="1" t="s">
        <v>19</v>
      </c>
      <c r="O176" s="1" t="s">
        <v>19</v>
      </c>
      <c r="P176" t="s">
        <v>19</v>
      </c>
      <c r="Q176">
        <v>2</v>
      </c>
      <c r="R176" t="s">
        <v>19</v>
      </c>
    </row>
    <row r="177" spans="1:18" x14ac:dyDescent="0.2">
      <c r="A177">
        <v>175</v>
      </c>
      <c r="B177" t="s">
        <v>249</v>
      </c>
      <c r="C177" s="2" t="s">
        <v>19</v>
      </c>
      <c r="D177" s="2" t="s">
        <v>19</v>
      </c>
      <c r="E177" s="3">
        <v>2</v>
      </c>
      <c r="F177" s="3">
        <v>0</v>
      </c>
      <c r="G177" s="3" t="s">
        <v>250</v>
      </c>
      <c r="H177" t="s">
        <v>191</v>
      </c>
      <c r="I177" t="s">
        <v>20</v>
      </c>
      <c r="J177" t="s">
        <v>25</v>
      </c>
      <c r="K177" t="s">
        <v>22</v>
      </c>
      <c r="L177" t="s">
        <v>19</v>
      </c>
      <c r="M177" t="s">
        <v>19</v>
      </c>
      <c r="N177" s="1" t="s">
        <v>19</v>
      </c>
      <c r="O177" s="1" t="s">
        <v>19</v>
      </c>
      <c r="P177" t="s">
        <v>19</v>
      </c>
      <c r="Q177">
        <v>2</v>
      </c>
      <c r="R177" t="s">
        <v>19</v>
      </c>
    </row>
    <row r="178" spans="1:18" x14ac:dyDescent="0.2">
      <c r="A178">
        <v>176</v>
      </c>
      <c r="B178" t="s">
        <v>251</v>
      </c>
      <c r="C178" s="2" t="s">
        <v>19</v>
      </c>
      <c r="D178" s="2" t="s">
        <v>19</v>
      </c>
      <c r="E178" s="3" t="s">
        <v>19</v>
      </c>
      <c r="F178" s="3">
        <v>0</v>
      </c>
      <c r="G178" s="3" t="s">
        <v>252</v>
      </c>
      <c r="H178" t="s">
        <v>19</v>
      </c>
      <c r="I178" t="s">
        <v>20</v>
      </c>
      <c r="J178" t="s">
        <v>25</v>
      </c>
      <c r="K178" t="s">
        <v>22</v>
      </c>
      <c r="L178" t="s">
        <v>19</v>
      </c>
      <c r="M178" t="s">
        <v>19</v>
      </c>
      <c r="N178" s="1" t="s">
        <v>19</v>
      </c>
      <c r="O178" s="1" t="s">
        <v>19</v>
      </c>
      <c r="P178" t="s">
        <v>19</v>
      </c>
      <c r="Q178">
        <v>1</v>
      </c>
      <c r="R178" t="s">
        <v>19</v>
      </c>
    </row>
    <row r="179" spans="1:18" x14ac:dyDescent="0.2">
      <c r="A179">
        <v>177</v>
      </c>
      <c r="B179" t="s">
        <v>254</v>
      </c>
      <c r="C179" s="2"/>
      <c r="D179" s="2"/>
      <c r="E179" s="3"/>
      <c r="F179" s="3"/>
      <c r="G179" s="3"/>
      <c r="N179" s="1"/>
      <c r="O179" s="1"/>
    </row>
    <row r="180" spans="1:18" x14ac:dyDescent="0.2">
      <c r="A180">
        <v>178</v>
      </c>
      <c r="B180" t="s">
        <v>446</v>
      </c>
      <c r="C180" s="2" t="s">
        <v>19</v>
      </c>
      <c r="D180" s="2" t="s">
        <v>19</v>
      </c>
      <c r="E180" s="3">
        <v>2</v>
      </c>
      <c r="F180" s="3">
        <v>0</v>
      </c>
      <c r="G180" s="3" t="s">
        <v>253</v>
      </c>
      <c r="H180" t="s">
        <v>182</v>
      </c>
      <c r="I180" t="s">
        <v>20</v>
      </c>
      <c r="J180" t="s">
        <v>25</v>
      </c>
      <c r="K180" t="s">
        <v>22</v>
      </c>
      <c r="L180" t="s">
        <v>19</v>
      </c>
      <c r="M180" t="s">
        <v>19</v>
      </c>
      <c r="N180" s="1" t="s">
        <v>19</v>
      </c>
      <c r="O180" s="1" t="s">
        <v>19</v>
      </c>
      <c r="P180" t="s">
        <v>19</v>
      </c>
      <c r="Q180">
        <v>2</v>
      </c>
      <c r="R180" t="s">
        <v>19</v>
      </c>
    </row>
    <row r="181" spans="1:18" x14ac:dyDescent="0.2">
      <c r="A181">
        <v>179</v>
      </c>
      <c r="B181" t="s">
        <v>255</v>
      </c>
      <c r="C181" s="2" t="s">
        <v>19</v>
      </c>
      <c r="D181" s="2" t="s">
        <v>19</v>
      </c>
      <c r="E181" s="3">
        <v>5</v>
      </c>
      <c r="F181" s="3">
        <v>0</v>
      </c>
      <c r="G181" s="3" t="s">
        <v>256</v>
      </c>
      <c r="H181" t="s">
        <v>188</v>
      </c>
      <c r="I181" t="s">
        <v>20</v>
      </c>
      <c r="J181" t="s">
        <v>25</v>
      </c>
      <c r="K181" t="s">
        <v>22</v>
      </c>
      <c r="L181" t="s">
        <v>19</v>
      </c>
      <c r="M181" t="s">
        <v>19</v>
      </c>
      <c r="N181" s="1" t="s">
        <v>19</v>
      </c>
      <c r="O181" s="1" t="s">
        <v>19</v>
      </c>
      <c r="P181" t="s">
        <v>19</v>
      </c>
      <c r="Q181">
        <v>2</v>
      </c>
      <c r="R181" t="s">
        <v>19</v>
      </c>
    </row>
    <row r="182" spans="1:18" x14ac:dyDescent="0.2">
      <c r="A182">
        <v>180</v>
      </c>
      <c r="B182" t="s">
        <v>257</v>
      </c>
      <c r="C182" s="2" t="s">
        <v>19</v>
      </c>
      <c r="D182" s="2" t="s">
        <v>19</v>
      </c>
      <c r="E182" s="3">
        <v>2</v>
      </c>
      <c r="F182" s="3">
        <v>0</v>
      </c>
      <c r="G182" s="3" t="s">
        <v>258</v>
      </c>
      <c r="H182" t="s">
        <v>191</v>
      </c>
      <c r="I182" t="s">
        <v>20</v>
      </c>
      <c r="J182" t="s">
        <v>25</v>
      </c>
      <c r="K182" t="s">
        <v>22</v>
      </c>
      <c r="L182" t="s">
        <v>19</v>
      </c>
      <c r="M182" t="s">
        <v>19</v>
      </c>
      <c r="N182" s="1" t="s">
        <v>19</v>
      </c>
      <c r="O182" s="1" t="s">
        <v>19</v>
      </c>
      <c r="P182" t="s">
        <v>19</v>
      </c>
      <c r="Q182">
        <v>2</v>
      </c>
      <c r="R182" t="s">
        <v>19</v>
      </c>
    </row>
    <row r="183" spans="1:18" x14ac:dyDescent="0.2">
      <c r="A183">
        <v>181</v>
      </c>
      <c r="B183" t="s">
        <v>259</v>
      </c>
      <c r="C183" s="2" t="s">
        <v>19</v>
      </c>
      <c r="D183" s="2" t="s">
        <v>19</v>
      </c>
      <c r="E183" s="3" t="s">
        <v>19</v>
      </c>
      <c r="F183" s="3">
        <v>0</v>
      </c>
      <c r="G183" s="3" t="s">
        <v>260</v>
      </c>
      <c r="H183" t="s">
        <v>19</v>
      </c>
      <c r="I183" t="s">
        <v>20</v>
      </c>
      <c r="J183" t="s">
        <v>25</v>
      </c>
      <c r="K183" t="s">
        <v>22</v>
      </c>
      <c r="L183" t="s">
        <v>19</v>
      </c>
      <c r="M183" t="s">
        <v>19</v>
      </c>
      <c r="N183" s="1" t="s">
        <v>19</v>
      </c>
      <c r="O183" s="1" t="s">
        <v>19</v>
      </c>
      <c r="P183" t="s">
        <v>19</v>
      </c>
      <c r="Q183">
        <v>1</v>
      </c>
      <c r="R183" t="s">
        <v>19</v>
      </c>
    </row>
    <row r="184" spans="1:18" x14ac:dyDescent="0.2">
      <c r="A184">
        <v>182</v>
      </c>
      <c r="B184" t="s">
        <v>262</v>
      </c>
      <c r="C184" s="2"/>
      <c r="D184" s="2"/>
      <c r="E184" s="3"/>
      <c r="F184" s="3"/>
      <c r="G184" s="3"/>
      <c r="N184" s="1"/>
      <c r="O184" s="1"/>
    </row>
    <row r="185" spans="1:18" x14ac:dyDescent="0.2">
      <c r="A185">
        <v>183</v>
      </c>
      <c r="B185" t="s">
        <v>447</v>
      </c>
      <c r="C185" s="2" t="s">
        <v>19</v>
      </c>
      <c r="D185" s="2" t="s">
        <v>19</v>
      </c>
      <c r="E185" s="3">
        <v>2</v>
      </c>
      <c r="F185" s="3">
        <v>0</v>
      </c>
      <c r="G185" s="3" t="s">
        <v>261</v>
      </c>
      <c r="H185" t="s">
        <v>182</v>
      </c>
      <c r="I185" t="s">
        <v>20</v>
      </c>
      <c r="J185" t="s">
        <v>25</v>
      </c>
      <c r="K185" t="s">
        <v>22</v>
      </c>
      <c r="L185" t="s">
        <v>19</v>
      </c>
      <c r="M185" t="s">
        <v>19</v>
      </c>
      <c r="N185" s="1" t="s">
        <v>19</v>
      </c>
      <c r="O185" s="1" t="s">
        <v>19</v>
      </c>
      <c r="P185" t="s">
        <v>19</v>
      </c>
      <c r="Q185">
        <v>2</v>
      </c>
      <c r="R185" t="s">
        <v>19</v>
      </c>
    </row>
    <row r="186" spans="1:18" x14ac:dyDescent="0.2">
      <c r="A186">
        <v>184</v>
      </c>
      <c r="B186" t="s">
        <v>263</v>
      </c>
      <c r="C186" s="2" t="s">
        <v>19</v>
      </c>
      <c r="D186" s="2" t="s">
        <v>19</v>
      </c>
      <c r="E186" s="3">
        <v>5</v>
      </c>
      <c r="F186" s="3">
        <v>0</v>
      </c>
      <c r="G186" s="3" t="s">
        <v>264</v>
      </c>
      <c r="H186" t="s">
        <v>188</v>
      </c>
      <c r="I186" t="s">
        <v>20</v>
      </c>
      <c r="J186" t="s">
        <v>25</v>
      </c>
      <c r="K186" t="s">
        <v>22</v>
      </c>
      <c r="L186" t="s">
        <v>19</v>
      </c>
      <c r="M186" t="s">
        <v>19</v>
      </c>
      <c r="N186" s="1" t="s">
        <v>19</v>
      </c>
      <c r="O186" s="1" t="s">
        <v>19</v>
      </c>
      <c r="P186" t="s">
        <v>19</v>
      </c>
      <c r="Q186">
        <v>2</v>
      </c>
      <c r="R186" t="s">
        <v>19</v>
      </c>
    </row>
    <row r="187" spans="1:18" x14ac:dyDescent="0.2">
      <c r="A187">
        <v>185</v>
      </c>
      <c r="B187" t="s">
        <v>265</v>
      </c>
      <c r="C187" s="2" t="s">
        <v>19</v>
      </c>
      <c r="D187" s="2" t="s">
        <v>19</v>
      </c>
      <c r="E187" s="3">
        <v>2</v>
      </c>
      <c r="F187" s="3">
        <v>0</v>
      </c>
      <c r="G187" s="3" t="s">
        <v>266</v>
      </c>
      <c r="H187" t="s">
        <v>191</v>
      </c>
      <c r="I187" t="s">
        <v>20</v>
      </c>
      <c r="J187" t="s">
        <v>25</v>
      </c>
      <c r="K187" t="s">
        <v>22</v>
      </c>
      <c r="L187" t="s">
        <v>19</v>
      </c>
      <c r="M187" t="s">
        <v>19</v>
      </c>
      <c r="N187" s="1" t="s">
        <v>19</v>
      </c>
      <c r="O187" s="1" t="s">
        <v>19</v>
      </c>
      <c r="P187" t="s">
        <v>19</v>
      </c>
      <c r="Q187">
        <v>2</v>
      </c>
      <c r="R187" t="s">
        <v>19</v>
      </c>
    </row>
    <row r="188" spans="1:18" x14ac:dyDescent="0.2">
      <c r="A188">
        <v>186</v>
      </c>
      <c r="B188" t="s">
        <v>267</v>
      </c>
      <c r="C188" s="2" t="s">
        <v>19</v>
      </c>
      <c r="D188" s="2" t="s">
        <v>19</v>
      </c>
      <c r="E188" s="3" t="s">
        <v>19</v>
      </c>
      <c r="F188" s="3">
        <v>0</v>
      </c>
      <c r="G188" s="3" t="s">
        <v>268</v>
      </c>
      <c r="H188" t="s">
        <v>19</v>
      </c>
      <c r="I188" t="s">
        <v>20</v>
      </c>
      <c r="J188" t="s">
        <v>25</v>
      </c>
      <c r="K188" t="s">
        <v>22</v>
      </c>
      <c r="L188" t="s">
        <v>19</v>
      </c>
      <c r="M188" t="s">
        <v>19</v>
      </c>
      <c r="N188" s="1" t="s">
        <v>19</v>
      </c>
      <c r="O188" s="1" t="s">
        <v>19</v>
      </c>
      <c r="P188" t="s">
        <v>19</v>
      </c>
      <c r="Q188">
        <v>1</v>
      </c>
      <c r="R188" t="s">
        <v>19</v>
      </c>
    </row>
    <row r="189" spans="1:18" x14ac:dyDescent="0.2">
      <c r="A189">
        <v>187</v>
      </c>
      <c r="B189" t="s">
        <v>448</v>
      </c>
      <c r="C189" s="2">
        <f>DATE(2025,12,4)</f>
        <v>45995</v>
      </c>
      <c r="D189" s="2">
        <f>DATE(2025,12,8)</f>
        <v>45999</v>
      </c>
      <c r="E189" s="3"/>
      <c r="F189" s="3"/>
      <c r="G189" s="3"/>
      <c r="N189" s="1"/>
      <c r="O189" s="1"/>
    </row>
    <row r="190" spans="1:18" x14ac:dyDescent="0.2">
      <c r="A190">
        <v>188</v>
      </c>
      <c r="B190" t="s">
        <v>449</v>
      </c>
      <c r="C190" s="2">
        <f>DATE(2025,12,9)</f>
        <v>46000</v>
      </c>
      <c r="D190" s="2">
        <f>DATE(2025,12,11)</f>
        <v>46002</v>
      </c>
      <c r="E190" s="3"/>
      <c r="F190" s="3"/>
      <c r="G190" s="3"/>
      <c r="N190" s="1"/>
      <c r="O190" s="1"/>
    </row>
    <row r="191" spans="1:18" x14ac:dyDescent="0.2">
      <c r="A191">
        <v>189</v>
      </c>
      <c r="B191" t="s">
        <v>450</v>
      </c>
      <c r="C191" s="2">
        <f>DATE(2025,12,12)</f>
        <v>46003</v>
      </c>
      <c r="D191" s="2">
        <f>DATE(2025,12,12)</f>
        <v>46003</v>
      </c>
      <c r="E191" s="3"/>
      <c r="F191" s="3"/>
      <c r="G191" s="3"/>
      <c r="N191" s="1"/>
      <c r="O191" s="1"/>
    </row>
    <row r="192" spans="1:18" x14ac:dyDescent="0.2">
      <c r="A192">
        <v>190</v>
      </c>
      <c r="B192" t="s">
        <v>270</v>
      </c>
      <c r="C192" s="2"/>
      <c r="D192" s="2"/>
      <c r="E192" s="3"/>
      <c r="F192" s="3"/>
      <c r="G192" s="3"/>
      <c r="N192" s="1"/>
      <c r="O192" s="1"/>
    </row>
    <row r="193" spans="1:18" x14ac:dyDescent="0.2">
      <c r="A193">
        <v>191</v>
      </c>
      <c r="B193" t="s">
        <v>452</v>
      </c>
      <c r="C193" s="2" t="s">
        <v>19</v>
      </c>
      <c r="D193" s="2" t="s">
        <v>19</v>
      </c>
      <c r="E193" s="3">
        <v>2</v>
      </c>
      <c r="F193" s="3">
        <v>0</v>
      </c>
      <c r="G193" s="3" t="s">
        <v>269</v>
      </c>
      <c r="H193" t="s">
        <v>182</v>
      </c>
      <c r="I193" t="s">
        <v>20</v>
      </c>
      <c r="J193" t="s">
        <v>25</v>
      </c>
      <c r="K193" t="s">
        <v>22</v>
      </c>
      <c r="L193" t="s">
        <v>19</v>
      </c>
      <c r="M193" t="s">
        <v>19</v>
      </c>
      <c r="N193" s="1" t="s">
        <v>19</v>
      </c>
      <c r="O193" s="1" t="s">
        <v>19</v>
      </c>
      <c r="P193" t="s">
        <v>19</v>
      </c>
      <c r="Q193">
        <v>2</v>
      </c>
      <c r="R193" t="s">
        <v>19</v>
      </c>
    </row>
    <row r="194" spans="1:18" x14ac:dyDescent="0.2">
      <c r="A194">
        <v>192</v>
      </c>
      <c r="B194" t="s">
        <v>271</v>
      </c>
      <c r="C194" s="2" t="s">
        <v>19</v>
      </c>
      <c r="D194" s="2" t="s">
        <v>19</v>
      </c>
      <c r="E194" s="3">
        <v>5</v>
      </c>
      <c r="F194" s="3">
        <v>0</v>
      </c>
      <c r="G194" s="3" t="s">
        <v>272</v>
      </c>
      <c r="H194" t="s">
        <v>188</v>
      </c>
      <c r="I194" t="s">
        <v>20</v>
      </c>
      <c r="J194" t="s">
        <v>25</v>
      </c>
      <c r="K194" t="s">
        <v>22</v>
      </c>
      <c r="L194" t="s">
        <v>19</v>
      </c>
      <c r="M194" t="s">
        <v>19</v>
      </c>
      <c r="N194" s="1" t="s">
        <v>19</v>
      </c>
      <c r="O194" s="1" t="s">
        <v>19</v>
      </c>
      <c r="P194" t="s">
        <v>19</v>
      </c>
      <c r="Q194">
        <v>2</v>
      </c>
      <c r="R194" t="s">
        <v>19</v>
      </c>
    </row>
    <row r="195" spans="1:18" x14ac:dyDescent="0.2">
      <c r="A195">
        <v>193</v>
      </c>
      <c r="B195" t="s">
        <v>273</v>
      </c>
      <c r="C195" s="2" t="s">
        <v>19</v>
      </c>
      <c r="D195" s="2" t="s">
        <v>19</v>
      </c>
      <c r="E195" s="3">
        <v>2</v>
      </c>
      <c r="F195" s="3">
        <v>0</v>
      </c>
      <c r="G195" s="3" t="s">
        <v>274</v>
      </c>
      <c r="H195" t="s">
        <v>191</v>
      </c>
      <c r="I195" t="s">
        <v>20</v>
      </c>
      <c r="J195" t="s">
        <v>25</v>
      </c>
      <c r="K195" t="s">
        <v>22</v>
      </c>
      <c r="L195" t="s">
        <v>19</v>
      </c>
      <c r="M195" t="s">
        <v>19</v>
      </c>
      <c r="N195" s="1" t="s">
        <v>19</v>
      </c>
      <c r="O195" s="1" t="s">
        <v>19</v>
      </c>
      <c r="P195" t="s">
        <v>19</v>
      </c>
      <c r="Q195">
        <v>2</v>
      </c>
      <c r="R195" t="s">
        <v>19</v>
      </c>
    </row>
    <row r="196" spans="1:18" x14ac:dyDescent="0.2">
      <c r="A196">
        <v>194</v>
      </c>
      <c r="B196" t="s">
        <v>275</v>
      </c>
      <c r="C196" s="2" t="s">
        <v>19</v>
      </c>
      <c r="D196" s="2" t="s">
        <v>19</v>
      </c>
      <c r="E196" s="3" t="s">
        <v>19</v>
      </c>
      <c r="F196" s="3">
        <v>0</v>
      </c>
      <c r="G196" s="3" t="s">
        <v>276</v>
      </c>
      <c r="H196" t="s">
        <v>19</v>
      </c>
      <c r="I196" t="s">
        <v>20</v>
      </c>
      <c r="J196" t="s">
        <v>25</v>
      </c>
      <c r="K196" t="s">
        <v>22</v>
      </c>
      <c r="L196" t="s">
        <v>19</v>
      </c>
      <c r="M196" t="s">
        <v>19</v>
      </c>
      <c r="N196" s="1" t="s">
        <v>19</v>
      </c>
      <c r="O196" s="1" t="s">
        <v>19</v>
      </c>
      <c r="P196" t="s">
        <v>19</v>
      </c>
      <c r="Q196">
        <v>1</v>
      </c>
      <c r="R196" t="s">
        <v>19</v>
      </c>
    </row>
    <row r="197" spans="1:18" x14ac:dyDescent="0.2">
      <c r="A197">
        <v>195</v>
      </c>
      <c r="B197" t="s">
        <v>440</v>
      </c>
      <c r="C197" s="2">
        <f>DATE(2025,11,5)</f>
        <v>45966</v>
      </c>
      <c r="D197" s="2">
        <f>DATE(2025,11,15)</f>
        <v>45976</v>
      </c>
      <c r="E197" s="3"/>
      <c r="F197" s="3"/>
      <c r="G197" s="3"/>
      <c r="N197" s="1"/>
      <c r="O197" s="1"/>
    </row>
    <row r="198" spans="1:18" x14ac:dyDescent="0.2">
      <c r="A198">
        <v>196</v>
      </c>
      <c r="B198" t="s">
        <v>438</v>
      </c>
      <c r="C198" s="2">
        <f>DATE(2025,11,17)</f>
        <v>45978</v>
      </c>
      <c r="D198" s="2">
        <f>DATE(2025,11,17)</f>
        <v>45978</v>
      </c>
      <c r="E198" s="3"/>
      <c r="F198" s="3"/>
      <c r="G198" s="3"/>
      <c r="N198" s="1"/>
      <c r="O198" s="1"/>
    </row>
    <row r="199" spans="1:18" x14ac:dyDescent="0.2">
      <c r="A199">
        <v>197</v>
      </c>
      <c r="B199" t="s">
        <v>439</v>
      </c>
      <c r="C199" s="2">
        <f>DATE(2025,11,20)</f>
        <v>45981</v>
      </c>
      <c r="D199" s="2">
        <f>DATE(2025,11,28)</f>
        <v>45989</v>
      </c>
      <c r="E199" s="3"/>
      <c r="F199" s="3"/>
      <c r="G199" s="3"/>
      <c r="N199" s="1"/>
      <c r="O199" s="1"/>
    </row>
    <row r="200" spans="1:18" x14ac:dyDescent="0.2">
      <c r="A200">
        <v>198</v>
      </c>
      <c r="B200" t="s">
        <v>441</v>
      </c>
      <c r="C200" s="2">
        <f>DATE(2025,12,5)</f>
        <v>45996</v>
      </c>
      <c r="D200" s="2">
        <f>DATE(2025,12,9)</f>
        <v>46000</v>
      </c>
      <c r="E200" s="3">
        <v>2</v>
      </c>
      <c r="F200" s="3">
        <v>0</v>
      </c>
      <c r="G200" s="3" t="s">
        <v>277</v>
      </c>
      <c r="H200" t="s">
        <v>182</v>
      </c>
      <c r="I200" t="s">
        <v>20</v>
      </c>
      <c r="J200" t="s">
        <v>25</v>
      </c>
      <c r="K200" t="s">
        <v>22</v>
      </c>
      <c r="L200" t="s">
        <v>19</v>
      </c>
      <c r="M200" t="s">
        <v>19</v>
      </c>
      <c r="N200" s="1" t="s">
        <v>19</v>
      </c>
      <c r="O200" s="1" t="s">
        <v>19</v>
      </c>
      <c r="P200" t="s">
        <v>19</v>
      </c>
      <c r="Q200">
        <v>2</v>
      </c>
      <c r="R200" t="s">
        <v>19</v>
      </c>
    </row>
    <row r="201" spans="1:18" x14ac:dyDescent="0.2">
      <c r="A201">
        <v>199</v>
      </c>
      <c r="B201" t="s">
        <v>278</v>
      </c>
      <c r="C201" s="2">
        <f>DATE(2025,12,11)</f>
        <v>46002</v>
      </c>
      <c r="D201" s="2">
        <f>DATE(2026,3,20)</f>
        <v>46101</v>
      </c>
      <c r="E201" s="3">
        <v>7</v>
      </c>
      <c r="F201" s="3">
        <v>0</v>
      </c>
      <c r="G201" s="3" t="s">
        <v>279</v>
      </c>
      <c r="H201" t="s">
        <v>185</v>
      </c>
      <c r="I201" t="s">
        <v>20</v>
      </c>
      <c r="J201" t="s">
        <v>25</v>
      </c>
      <c r="K201" t="s">
        <v>22</v>
      </c>
      <c r="L201" t="s">
        <v>19</v>
      </c>
      <c r="M201" t="s">
        <v>19</v>
      </c>
      <c r="N201" s="1" t="s">
        <v>19</v>
      </c>
      <c r="O201" s="1" t="s">
        <v>19</v>
      </c>
      <c r="P201" t="s">
        <v>19</v>
      </c>
      <c r="Q201">
        <v>2</v>
      </c>
      <c r="R201" t="s">
        <v>19</v>
      </c>
    </row>
    <row r="202" spans="1:18" x14ac:dyDescent="0.2">
      <c r="A202">
        <v>200</v>
      </c>
      <c r="B202" t="s">
        <v>280</v>
      </c>
      <c r="C202" s="2">
        <f>DATE(2026,3,23)</f>
        <v>46104</v>
      </c>
      <c r="D202" s="2">
        <f>DATE(2026,4,23)</f>
        <v>46135</v>
      </c>
      <c r="E202" s="3">
        <v>5</v>
      </c>
      <c r="F202" s="3">
        <v>0</v>
      </c>
      <c r="G202" s="3" t="s">
        <v>281</v>
      </c>
      <c r="H202" t="s">
        <v>188</v>
      </c>
      <c r="I202" t="s">
        <v>20</v>
      </c>
      <c r="J202" t="s">
        <v>25</v>
      </c>
      <c r="K202" t="s">
        <v>22</v>
      </c>
      <c r="L202" t="s">
        <v>19</v>
      </c>
      <c r="M202" t="s">
        <v>19</v>
      </c>
      <c r="N202" s="1" t="s">
        <v>19</v>
      </c>
      <c r="O202" s="1" t="s">
        <v>19</v>
      </c>
      <c r="P202" t="s">
        <v>19</v>
      </c>
      <c r="Q202">
        <v>2</v>
      </c>
      <c r="R202" t="s">
        <v>19</v>
      </c>
    </row>
    <row r="203" spans="1:18" x14ac:dyDescent="0.2">
      <c r="A203">
        <v>201</v>
      </c>
      <c r="B203" t="s">
        <v>282</v>
      </c>
      <c r="C203" s="2" t="s">
        <v>19</v>
      </c>
      <c r="D203" s="2" t="s">
        <v>19</v>
      </c>
      <c r="E203" s="3">
        <v>2</v>
      </c>
      <c r="F203" s="3">
        <v>0</v>
      </c>
      <c r="G203" s="3" t="s">
        <v>283</v>
      </c>
      <c r="H203" t="s">
        <v>191</v>
      </c>
      <c r="I203" t="s">
        <v>20</v>
      </c>
      <c r="J203" t="s">
        <v>25</v>
      </c>
      <c r="K203" t="s">
        <v>22</v>
      </c>
      <c r="L203" t="s">
        <v>19</v>
      </c>
      <c r="M203" t="s">
        <v>19</v>
      </c>
      <c r="N203" s="1" t="s">
        <v>19</v>
      </c>
      <c r="O203" s="1" t="s">
        <v>19</v>
      </c>
      <c r="P203" t="s">
        <v>19</v>
      </c>
      <c r="Q203">
        <v>2</v>
      </c>
      <c r="R203" t="s">
        <v>19</v>
      </c>
    </row>
    <row r="204" spans="1:18" x14ac:dyDescent="0.2">
      <c r="A204">
        <v>202</v>
      </c>
      <c r="B204" t="s">
        <v>284</v>
      </c>
      <c r="C204" s="2" t="s">
        <v>19</v>
      </c>
      <c r="D204" s="2" t="s">
        <v>19</v>
      </c>
      <c r="E204" s="3" t="s">
        <v>19</v>
      </c>
      <c r="F204" s="3">
        <v>0</v>
      </c>
      <c r="G204" s="3" t="s">
        <v>285</v>
      </c>
      <c r="H204" t="s">
        <v>19</v>
      </c>
      <c r="I204" t="s">
        <v>20</v>
      </c>
      <c r="J204" t="s">
        <v>25</v>
      </c>
      <c r="K204" t="s">
        <v>22</v>
      </c>
      <c r="L204" t="s">
        <v>19</v>
      </c>
      <c r="M204" t="s">
        <v>19</v>
      </c>
      <c r="N204" s="1" t="s">
        <v>19</v>
      </c>
      <c r="O204" s="1" t="s">
        <v>19</v>
      </c>
      <c r="P204" t="s">
        <v>19</v>
      </c>
      <c r="Q204">
        <v>2</v>
      </c>
      <c r="R204" t="s">
        <v>19</v>
      </c>
    </row>
    <row r="205" spans="1:18" x14ac:dyDescent="0.2">
      <c r="A205">
        <v>203</v>
      </c>
      <c r="B205" t="s">
        <v>286</v>
      </c>
      <c r="C205" s="2" t="s">
        <v>19</v>
      </c>
      <c r="D205" s="2" t="s">
        <v>19</v>
      </c>
      <c r="E205" s="3" t="s">
        <v>19</v>
      </c>
      <c r="F205" s="3">
        <v>0</v>
      </c>
      <c r="G205" s="3" t="s">
        <v>285</v>
      </c>
      <c r="H205" t="s">
        <v>19</v>
      </c>
      <c r="I205" t="s">
        <v>20</v>
      </c>
      <c r="J205" t="s">
        <v>25</v>
      </c>
      <c r="K205" t="s">
        <v>22</v>
      </c>
      <c r="L205" t="s">
        <v>19</v>
      </c>
      <c r="M205" t="s">
        <v>19</v>
      </c>
      <c r="N205" s="1" t="s">
        <v>19</v>
      </c>
      <c r="O205" s="1" t="s">
        <v>19</v>
      </c>
      <c r="P205" t="s">
        <v>19</v>
      </c>
      <c r="Q205">
        <v>2</v>
      </c>
      <c r="R205" t="s">
        <v>19</v>
      </c>
    </row>
    <row r="206" spans="1:18" x14ac:dyDescent="0.2">
      <c r="A206">
        <v>204</v>
      </c>
      <c r="B206" t="s">
        <v>287</v>
      </c>
      <c r="C206" s="2" t="s">
        <v>19</v>
      </c>
      <c r="D206" s="2" t="s">
        <v>19</v>
      </c>
      <c r="E206" s="3" t="s">
        <v>19</v>
      </c>
      <c r="F206" s="3">
        <v>0</v>
      </c>
      <c r="G206" s="3" t="s">
        <v>285</v>
      </c>
      <c r="H206" t="s">
        <v>19</v>
      </c>
      <c r="I206" t="s">
        <v>20</v>
      </c>
      <c r="J206" t="s">
        <v>25</v>
      </c>
      <c r="K206" t="s">
        <v>22</v>
      </c>
      <c r="L206" t="s">
        <v>19</v>
      </c>
      <c r="M206" t="s">
        <v>19</v>
      </c>
      <c r="N206" s="1" t="s">
        <v>19</v>
      </c>
      <c r="O206" s="1" t="s">
        <v>19</v>
      </c>
      <c r="P206" t="s">
        <v>19</v>
      </c>
      <c r="Q206">
        <v>2</v>
      </c>
      <c r="R206" t="s">
        <v>19</v>
      </c>
    </row>
    <row r="207" spans="1:18" x14ac:dyDescent="0.2">
      <c r="A207">
        <v>205</v>
      </c>
      <c r="B207" t="s">
        <v>288</v>
      </c>
      <c r="C207" s="2" t="s">
        <v>19</v>
      </c>
      <c r="D207" s="2" t="s">
        <v>19</v>
      </c>
      <c r="E207" s="3" t="s">
        <v>19</v>
      </c>
      <c r="F207" s="3">
        <v>0</v>
      </c>
      <c r="G207" s="3" t="s">
        <v>285</v>
      </c>
      <c r="H207" t="s">
        <v>19</v>
      </c>
      <c r="I207" t="s">
        <v>20</v>
      </c>
      <c r="J207" t="s">
        <v>25</v>
      </c>
      <c r="K207" t="s">
        <v>22</v>
      </c>
      <c r="L207" t="s">
        <v>19</v>
      </c>
      <c r="M207" t="s">
        <v>19</v>
      </c>
      <c r="N207" s="1" t="s">
        <v>19</v>
      </c>
      <c r="O207" s="1" t="s">
        <v>19</v>
      </c>
      <c r="P207" t="s">
        <v>19</v>
      </c>
      <c r="Q207">
        <v>2</v>
      </c>
      <c r="R207" t="s">
        <v>19</v>
      </c>
    </row>
    <row r="208" spans="1:18" x14ac:dyDescent="0.2">
      <c r="A208">
        <v>206</v>
      </c>
      <c r="B208" t="s">
        <v>289</v>
      </c>
      <c r="C208" s="2" t="s">
        <v>19</v>
      </c>
      <c r="D208" s="2" t="s">
        <v>19</v>
      </c>
      <c r="E208" s="3" t="s">
        <v>19</v>
      </c>
      <c r="F208" s="3">
        <v>0</v>
      </c>
      <c r="G208" s="3" t="s">
        <v>290</v>
      </c>
      <c r="H208" t="s">
        <v>19</v>
      </c>
      <c r="I208" t="s">
        <v>20</v>
      </c>
      <c r="J208" t="s">
        <v>25</v>
      </c>
      <c r="K208" t="s">
        <v>22</v>
      </c>
      <c r="L208" t="s">
        <v>19</v>
      </c>
      <c r="M208" t="s">
        <v>19</v>
      </c>
      <c r="N208" s="1" t="s">
        <v>19</v>
      </c>
      <c r="O208" s="1" t="s">
        <v>19</v>
      </c>
      <c r="P208" t="s">
        <v>19</v>
      </c>
      <c r="Q208">
        <v>2</v>
      </c>
      <c r="R208" t="s">
        <v>19</v>
      </c>
    </row>
    <row r="209" spans="1:18" x14ac:dyDescent="0.2">
      <c r="A209">
        <v>207</v>
      </c>
      <c r="B209" t="s">
        <v>291</v>
      </c>
      <c r="C209" s="2" t="s">
        <v>19</v>
      </c>
      <c r="D209" s="2" t="s">
        <v>19</v>
      </c>
      <c r="E209" s="3" t="s">
        <v>19</v>
      </c>
      <c r="F209" s="3">
        <v>0</v>
      </c>
      <c r="G209" s="3" t="s">
        <v>290</v>
      </c>
      <c r="H209" t="s">
        <v>19</v>
      </c>
      <c r="I209" t="s">
        <v>20</v>
      </c>
      <c r="J209" t="s">
        <v>25</v>
      </c>
      <c r="K209" t="s">
        <v>22</v>
      </c>
      <c r="L209" t="s">
        <v>19</v>
      </c>
      <c r="M209" t="s">
        <v>19</v>
      </c>
      <c r="N209" s="1" t="s">
        <v>19</v>
      </c>
      <c r="O209" s="1" t="s">
        <v>19</v>
      </c>
      <c r="P209" t="s">
        <v>19</v>
      </c>
      <c r="Q209">
        <v>2</v>
      </c>
      <c r="R209" t="s">
        <v>19</v>
      </c>
    </row>
    <row r="210" spans="1:18" x14ac:dyDescent="0.2">
      <c r="A210">
        <v>208</v>
      </c>
      <c r="B210" t="s">
        <v>292</v>
      </c>
      <c r="C210" s="2" t="s">
        <v>19</v>
      </c>
      <c r="D210" s="2" t="s">
        <v>19</v>
      </c>
      <c r="E210" s="3" t="s">
        <v>19</v>
      </c>
      <c r="F210" s="3">
        <v>0</v>
      </c>
      <c r="G210" s="3" t="s">
        <v>290</v>
      </c>
      <c r="H210" t="s">
        <v>19</v>
      </c>
      <c r="I210" t="s">
        <v>20</v>
      </c>
      <c r="J210" t="s">
        <v>25</v>
      </c>
      <c r="K210" t="s">
        <v>22</v>
      </c>
      <c r="L210" t="s">
        <v>19</v>
      </c>
      <c r="M210" t="s">
        <v>19</v>
      </c>
      <c r="N210" s="1" t="s">
        <v>19</v>
      </c>
      <c r="O210" s="1" t="s">
        <v>19</v>
      </c>
      <c r="P210" t="s">
        <v>19</v>
      </c>
      <c r="Q210">
        <v>2</v>
      </c>
      <c r="R210" t="s">
        <v>19</v>
      </c>
    </row>
    <row r="211" spans="1:18" x14ac:dyDescent="0.2">
      <c r="A211">
        <v>209</v>
      </c>
      <c r="B211" t="s">
        <v>293</v>
      </c>
      <c r="C211" s="2" t="s">
        <v>19</v>
      </c>
      <c r="D211" s="2" t="s">
        <v>19</v>
      </c>
      <c r="E211" s="3" t="s">
        <v>19</v>
      </c>
      <c r="F211" s="3">
        <v>0</v>
      </c>
      <c r="G211" s="3" t="s">
        <v>294</v>
      </c>
      <c r="H211" t="s">
        <v>19</v>
      </c>
      <c r="I211" t="s">
        <v>20</v>
      </c>
      <c r="J211" t="s">
        <v>25</v>
      </c>
      <c r="K211" t="s">
        <v>22</v>
      </c>
      <c r="L211" t="s">
        <v>19</v>
      </c>
      <c r="M211" t="s">
        <v>19</v>
      </c>
      <c r="N211" s="1" t="s">
        <v>19</v>
      </c>
      <c r="O211" s="1" t="s">
        <v>19</v>
      </c>
      <c r="P211" t="s">
        <v>19</v>
      </c>
      <c r="Q211">
        <v>2</v>
      </c>
      <c r="R211" t="s">
        <v>19</v>
      </c>
    </row>
    <row r="212" spans="1:18" x14ac:dyDescent="0.2">
      <c r="A212">
        <v>210</v>
      </c>
      <c r="B212" t="s">
        <v>295</v>
      </c>
      <c r="C212" s="2" t="s">
        <v>19</v>
      </c>
      <c r="D212" s="2" t="s">
        <v>19</v>
      </c>
      <c r="E212" s="3" t="s">
        <v>19</v>
      </c>
      <c r="F212" s="3">
        <v>0</v>
      </c>
      <c r="G212" s="3" t="s">
        <v>294</v>
      </c>
      <c r="H212" t="s">
        <v>19</v>
      </c>
      <c r="I212" t="s">
        <v>20</v>
      </c>
      <c r="J212" t="s">
        <v>25</v>
      </c>
      <c r="K212" t="s">
        <v>22</v>
      </c>
      <c r="L212" t="s">
        <v>19</v>
      </c>
      <c r="M212" t="s">
        <v>19</v>
      </c>
      <c r="N212" s="1" t="s">
        <v>19</v>
      </c>
      <c r="O212" s="1" t="s">
        <v>19</v>
      </c>
      <c r="P212" t="s">
        <v>19</v>
      </c>
      <c r="Q212">
        <v>2</v>
      </c>
      <c r="R212" t="s">
        <v>19</v>
      </c>
    </row>
    <row r="213" spans="1:18" x14ac:dyDescent="0.2">
      <c r="A213">
        <v>211</v>
      </c>
      <c r="B213" t="s">
        <v>296</v>
      </c>
      <c r="C213" s="2" t="s">
        <v>19</v>
      </c>
      <c r="D213" s="2" t="s">
        <v>19</v>
      </c>
      <c r="E213" s="3" t="s">
        <v>19</v>
      </c>
      <c r="F213" s="3">
        <v>0</v>
      </c>
      <c r="G213" s="3" t="s">
        <v>297</v>
      </c>
      <c r="H213" t="s">
        <v>19</v>
      </c>
      <c r="I213" t="s">
        <v>20</v>
      </c>
      <c r="J213" t="s">
        <v>25</v>
      </c>
      <c r="K213" t="s">
        <v>22</v>
      </c>
      <c r="L213" t="s">
        <v>19</v>
      </c>
      <c r="M213" t="s">
        <v>19</v>
      </c>
      <c r="N213" s="1" t="s">
        <v>19</v>
      </c>
      <c r="O213" s="1" t="s">
        <v>19</v>
      </c>
      <c r="P213" t="s">
        <v>19</v>
      </c>
      <c r="Q213">
        <v>2</v>
      </c>
      <c r="R213" t="s">
        <v>19</v>
      </c>
    </row>
    <row r="214" spans="1:18" x14ac:dyDescent="0.2">
      <c r="A214">
        <v>212</v>
      </c>
      <c r="B214" t="s">
        <v>298</v>
      </c>
      <c r="C214" s="2" t="s">
        <v>19</v>
      </c>
      <c r="D214" s="2" t="s">
        <v>19</v>
      </c>
      <c r="E214" s="3" t="s">
        <v>19</v>
      </c>
      <c r="F214" s="3">
        <v>0</v>
      </c>
      <c r="G214" s="3" t="s">
        <v>19</v>
      </c>
      <c r="H214" t="s">
        <v>19</v>
      </c>
      <c r="I214" t="s">
        <v>20</v>
      </c>
      <c r="J214" t="s">
        <v>25</v>
      </c>
      <c r="K214" t="s">
        <v>22</v>
      </c>
      <c r="L214" t="s">
        <v>19</v>
      </c>
      <c r="M214" t="s">
        <v>19</v>
      </c>
      <c r="N214" s="1" t="s">
        <v>19</v>
      </c>
      <c r="O214" s="1" t="s">
        <v>19</v>
      </c>
      <c r="P214" t="s">
        <v>19</v>
      </c>
      <c r="Q214">
        <v>1</v>
      </c>
      <c r="R214" t="s">
        <v>19</v>
      </c>
    </row>
    <row r="215" spans="1:18" x14ac:dyDescent="0.2">
      <c r="A215">
        <v>213</v>
      </c>
      <c r="B215" t="s">
        <v>299</v>
      </c>
      <c r="C215" s="2" t="s">
        <v>19</v>
      </c>
      <c r="D215" s="2" t="s">
        <v>19</v>
      </c>
      <c r="E215" s="3">
        <v>0</v>
      </c>
      <c r="F215" s="3">
        <v>0</v>
      </c>
      <c r="G215" s="3" t="s">
        <v>300</v>
      </c>
      <c r="H215" t="s">
        <v>301</v>
      </c>
      <c r="I215" t="s">
        <v>20</v>
      </c>
      <c r="J215" t="s">
        <v>25</v>
      </c>
      <c r="K215" t="s">
        <v>22</v>
      </c>
      <c r="L215" t="s">
        <v>19</v>
      </c>
      <c r="M215" t="s">
        <v>19</v>
      </c>
      <c r="N215" s="1" t="s">
        <v>19</v>
      </c>
      <c r="O215" s="1" t="s">
        <v>19</v>
      </c>
      <c r="P215" t="s">
        <v>19</v>
      </c>
      <c r="Q215">
        <v>2</v>
      </c>
      <c r="R215" t="s">
        <v>19</v>
      </c>
    </row>
    <row r="216" spans="1:18" x14ac:dyDescent="0.2">
      <c r="A216">
        <v>214</v>
      </c>
      <c r="B216" t="s">
        <v>302</v>
      </c>
      <c r="C216" s="2" t="s">
        <v>19</v>
      </c>
      <c r="D216" s="2" t="s">
        <v>19</v>
      </c>
      <c r="E216" s="3">
        <v>3</v>
      </c>
      <c r="F216" s="3">
        <v>0</v>
      </c>
      <c r="G216" s="3" t="s">
        <v>303</v>
      </c>
      <c r="H216" t="s">
        <v>304</v>
      </c>
      <c r="I216" t="s">
        <v>20</v>
      </c>
      <c r="J216" t="s">
        <v>25</v>
      </c>
      <c r="K216" t="s">
        <v>22</v>
      </c>
      <c r="L216" t="s">
        <v>19</v>
      </c>
      <c r="M216" t="s">
        <v>19</v>
      </c>
      <c r="N216" s="1" t="s">
        <v>19</v>
      </c>
      <c r="O216" s="1" t="s">
        <v>19</v>
      </c>
      <c r="P216" t="s">
        <v>19</v>
      </c>
      <c r="Q216">
        <v>2</v>
      </c>
      <c r="R216" t="s">
        <v>19</v>
      </c>
    </row>
    <row r="217" spans="1:18" x14ac:dyDescent="0.2">
      <c r="A217">
        <v>215</v>
      </c>
      <c r="B217" t="s">
        <v>305</v>
      </c>
      <c r="C217" s="2" t="s">
        <v>19</v>
      </c>
      <c r="D217" s="2" t="s">
        <v>19</v>
      </c>
      <c r="E217" s="3">
        <v>5</v>
      </c>
      <c r="F217" s="3">
        <v>0</v>
      </c>
      <c r="G217" s="3" t="s">
        <v>306</v>
      </c>
      <c r="H217" t="s">
        <v>307</v>
      </c>
      <c r="I217" t="s">
        <v>20</v>
      </c>
      <c r="J217" t="s">
        <v>25</v>
      </c>
      <c r="K217" t="s">
        <v>22</v>
      </c>
      <c r="L217" t="s">
        <v>19</v>
      </c>
      <c r="M217" t="s">
        <v>19</v>
      </c>
      <c r="N217" s="1" t="s">
        <v>19</v>
      </c>
      <c r="O217" s="1" t="s">
        <v>19</v>
      </c>
      <c r="P217" t="s">
        <v>19</v>
      </c>
      <c r="Q217">
        <v>2</v>
      </c>
      <c r="R217" t="s">
        <v>19</v>
      </c>
    </row>
    <row r="218" spans="1:18" x14ac:dyDescent="0.2">
      <c r="A218">
        <v>216</v>
      </c>
      <c r="B218" t="s">
        <v>308</v>
      </c>
      <c r="C218" s="2" t="s">
        <v>19</v>
      </c>
      <c r="D218" s="2" t="s">
        <v>19</v>
      </c>
      <c r="E218" s="3">
        <v>1</v>
      </c>
      <c r="F218" s="3">
        <v>0</v>
      </c>
      <c r="G218" s="3" t="s">
        <v>309</v>
      </c>
      <c r="H218" t="s">
        <v>34</v>
      </c>
      <c r="I218" t="s">
        <v>20</v>
      </c>
      <c r="J218" t="s">
        <v>25</v>
      </c>
      <c r="K218" t="s">
        <v>31</v>
      </c>
      <c r="L218" t="s">
        <v>19</v>
      </c>
      <c r="M218" t="s">
        <v>19</v>
      </c>
      <c r="N218" s="1" t="s">
        <v>19</v>
      </c>
      <c r="O218" s="1" t="s">
        <v>19</v>
      </c>
      <c r="P218" t="s">
        <v>19</v>
      </c>
      <c r="Q218">
        <v>2</v>
      </c>
      <c r="R218" t="s">
        <v>19</v>
      </c>
    </row>
    <row r="219" spans="1:18" x14ac:dyDescent="0.2">
      <c r="A219">
        <v>217</v>
      </c>
      <c r="B219" t="s">
        <v>310</v>
      </c>
      <c r="C219" s="2" t="s">
        <v>19</v>
      </c>
      <c r="D219" s="2" t="s">
        <v>19</v>
      </c>
      <c r="E219" s="3">
        <v>1</v>
      </c>
      <c r="F219" s="3">
        <v>0</v>
      </c>
      <c r="G219" s="3" t="s">
        <v>311</v>
      </c>
      <c r="H219" t="s">
        <v>34</v>
      </c>
      <c r="I219" t="s">
        <v>20</v>
      </c>
      <c r="J219" t="s">
        <v>25</v>
      </c>
      <c r="K219" t="s">
        <v>31</v>
      </c>
      <c r="L219" t="s">
        <v>19</v>
      </c>
      <c r="M219" t="s">
        <v>19</v>
      </c>
      <c r="N219" s="1" t="s">
        <v>19</v>
      </c>
      <c r="O219" s="1" t="s">
        <v>19</v>
      </c>
      <c r="P219" t="s">
        <v>19</v>
      </c>
      <c r="Q219">
        <v>2</v>
      </c>
      <c r="R219" t="s">
        <v>19</v>
      </c>
    </row>
    <row r="220" spans="1:18" x14ac:dyDescent="0.2">
      <c r="A220">
        <v>218</v>
      </c>
      <c r="B220" t="s">
        <v>312</v>
      </c>
      <c r="C220" s="2" t="s">
        <v>19</v>
      </c>
      <c r="D220" s="2" t="s">
        <v>19</v>
      </c>
      <c r="E220" s="3">
        <v>5</v>
      </c>
      <c r="F220" s="3">
        <v>0</v>
      </c>
      <c r="G220" s="3" t="s">
        <v>313</v>
      </c>
      <c r="H220" t="s">
        <v>24</v>
      </c>
      <c r="I220" t="s">
        <v>20</v>
      </c>
      <c r="J220" t="s">
        <v>25</v>
      </c>
      <c r="K220" t="s">
        <v>22</v>
      </c>
      <c r="L220" t="s">
        <v>19</v>
      </c>
      <c r="M220" t="s">
        <v>19</v>
      </c>
      <c r="N220" s="1" t="s">
        <v>19</v>
      </c>
      <c r="O220" s="1" t="s">
        <v>19</v>
      </c>
      <c r="P220" t="s">
        <v>19</v>
      </c>
      <c r="Q220">
        <v>2</v>
      </c>
      <c r="R220" t="s">
        <v>19</v>
      </c>
    </row>
    <row r="221" spans="1:18" x14ac:dyDescent="0.2">
      <c r="C221" s="3"/>
      <c r="D221" s="3"/>
      <c r="E221" s="3"/>
      <c r="F221" s="3"/>
      <c r="G221" s="3"/>
    </row>
    <row r="222" spans="1:18" x14ac:dyDescent="0.2">
      <c r="C222" s="3"/>
      <c r="D222" s="3"/>
      <c r="E222" s="3"/>
      <c r="F222" s="3"/>
      <c r="G222" s="3"/>
    </row>
    <row r="223" spans="1:18" x14ac:dyDescent="0.2">
      <c r="C223" s="3"/>
      <c r="D223" s="3"/>
      <c r="E223" s="3"/>
      <c r="F223" s="3"/>
      <c r="G223" s="3"/>
    </row>
    <row r="224" spans="1:18" x14ac:dyDescent="0.2">
      <c r="C224" s="3"/>
      <c r="D224" s="3"/>
      <c r="E224" s="3"/>
      <c r="F224" s="3"/>
      <c r="G224" s="3"/>
    </row>
    <row r="225" spans="3:7" x14ac:dyDescent="0.2">
      <c r="C225" s="3"/>
      <c r="D225" s="3"/>
      <c r="E225" s="3"/>
      <c r="F225" s="3"/>
      <c r="G225" s="3"/>
    </row>
    <row r="226" spans="3:7" x14ac:dyDescent="0.2">
      <c r="C226" s="3"/>
      <c r="D226" s="3"/>
      <c r="E226" s="3"/>
      <c r="F226" s="3"/>
      <c r="G226" s="3"/>
    </row>
    <row r="227" spans="3:7" x14ac:dyDescent="0.2">
      <c r="C227" s="3"/>
      <c r="D227" s="3"/>
      <c r="E227" s="3"/>
      <c r="F227" s="3"/>
      <c r="G227" s="3"/>
    </row>
    <row r="228" spans="3:7" x14ac:dyDescent="0.2">
      <c r="C228" s="3"/>
      <c r="D228" s="3"/>
      <c r="E228" s="3"/>
      <c r="F228" s="3"/>
      <c r="G228" s="3"/>
    </row>
    <row r="229" spans="3:7" x14ac:dyDescent="0.2">
      <c r="C229" s="3"/>
      <c r="D229" s="3"/>
      <c r="E229" s="3"/>
      <c r="F229" s="3"/>
      <c r="G229" s="3"/>
    </row>
    <row r="230" spans="3:7" x14ac:dyDescent="0.2">
      <c r="C230" s="3"/>
      <c r="D230" s="3"/>
      <c r="E230" s="3"/>
      <c r="F230" s="3"/>
      <c r="G230" s="3"/>
    </row>
    <row r="231" spans="3:7" x14ac:dyDescent="0.2">
      <c r="C231" s="3"/>
      <c r="D231" s="3"/>
      <c r="E231" s="3"/>
      <c r="F231" s="3"/>
      <c r="G231" s="3"/>
    </row>
    <row r="232" spans="3:7" x14ac:dyDescent="0.2">
      <c r="C232" s="3"/>
      <c r="D232" s="3"/>
      <c r="E232" s="3"/>
      <c r="F232" s="3"/>
      <c r="G232" s="3"/>
    </row>
  </sheetData>
  <autoFilter ref="A1:R220" xr:uid="{00000000-0009-0000-0000-000000000000}"/>
  <printOptions gridLines="1"/>
  <pageMargins left="0.7" right="0.7" top="0.75" bottom="0.75" header="0.3" footer="0.3"/>
  <pageSetup paperSize="8" scale="98" orientation="landscape" r:id="rId1"/>
  <ignoredErrors>
    <ignoredError sqref="A1:R1 A3:B3 G3:G7 E5:E7 E10:H10 B11:B14 B16:B17 A2:H2 B8:H9 J2:R10 B20:B28 B55:B63 E20:R88 B30:B53 B19:R19 B65:B88 B166:R166 C193:R193 B111:R111 E107:R108 C116:R116 B118:R119 B131:R131 E127:R128 B139:R139 B149:R149 C154:R154 B157 C158:R158 C140:R140 E167:R167 B172:R173 C171:R171 B194:R196 B203:R220 B201:B202 E200:R202 B98:R99 B97 E11:R18 C175:R175 B176:R178 C180:R180 B181:R183 C185:R185 B186:R188 B4:B7 B90:R91 E95:R97 E136:R137 E145:R146 C165:R165 B117:R117 E155:R155 C163:R164 E157:R157 E148:R148 B130 E130:R130 B110 E110:R110" numberStoredAsText="1"/>
    <ignoredError sqref="C5 C101 D12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topLeftCell="A19" workbookViewId="0"/>
  </sheetViews>
  <sheetFormatPr baseColWidth="10" defaultColWidth="8.83203125" defaultRowHeight="16" x14ac:dyDescent="0.2"/>
  <cols>
    <col min="1" max="1" width="17.33203125" customWidth="1"/>
    <col min="2" max="2" width="31.1640625" customWidth="1"/>
  </cols>
  <sheetData>
    <row r="1" spans="1:3" x14ac:dyDescent="0.2">
      <c r="A1" t="s">
        <v>314</v>
      </c>
    </row>
    <row r="2" spans="1:3" x14ac:dyDescent="0.2">
      <c r="A2" t="s">
        <v>19</v>
      </c>
    </row>
    <row r="3" spans="1:3" x14ac:dyDescent="0.2">
      <c r="A3" t="s">
        <v>315</v>
      </c>
    </row>
    <row r="4" spans="1:3" x14ac:dyDescent="0.2">
      <c r="A4" t="s">
        <v>316</v>
      </c>
    </row>
    <row r="5" spans="1:3" x14ac:dyDescent="0.2">
      <c r="A5" t="s">
        <v>317</v>
      </c>
    </row>
    <row r="6" spans="1:3" x14ac:dyDescent="0.2">
      <c r="A6" t="s">
        <v>318</v>
      </c>
    </row>
    <row r="7" spans="1:3" x14ac:dyDescent="0.2">
      <c r="A7" t="s">
        <v>319</v>
      </c>
    </row>
    <row r="8" spans="1:3" x14ac:dyDescent="0.2">
      <c r="A8" t="s">
        <v>19</v>
      </c>
    </row>
    <row r="9" spans="1:3" x14ac:dyDescent="0.2">
      <c r="A9" t="s">
        <v>320</v>
      </c>
    </row>
    <row r="10" spans="1:3" x14ac:dyDescent="0.2">
      <c r="A10" t="s">
        <v>321</v>
      </c>
    </row>
    <row r="11" spans="1:3" x14ac:dyDescent="0.2">
      <c r="A11" t="s">
        <v>322</v>
      </c>
    </row>
    <row r="12" spans="1:3" x14ac:dyDescent="0.2">
      <c r="A12" t="s">
        <v>323</v>
      </c>
    </row>
    <row r="13" spans="1:3" x14ac:dyDescent="0.2">
      <c r="A13" t="s">
        <v>324</v>
      </c>
    </row>
    <row r="14" spans="1:3" x14ac:dyDescent="0.2">
      <c r="A14" t="s">
        <v>19</v>
      </c>
    </row>
    <row r="15" spans="1:3" x14ac:dyDescent="0.2">
      <c r="A15" t="s">
        <v>325</v>
      </c>
    </row>
    <row r="16" spans="1:3" x14ac:dyDescent="0.2">
      <c r="A16" t="s">
        <v>326</v>
      </c>
      <c r="B16" t="s">
        <v>327</v>
      </c>
      <c r="C16" t="s">
        <v>328</v>
      </c>
    </row>
    <row r="17" spans="1:3" x14ac:dyDescent="0.2">
      <c r="A17" t="s">
        <v>0</v>
      </c>
      <c r="B17" t="s">
        <v>329</v>
      </c>
      <c r="C17" t="s">
        <v>330</v>
      </c>
    </row>
    <row r="18" spans="1:3" x14ac:dyDescent="0.2">
      <c r="A18" t="s">
        <v>1</v>
      </c>
      <c r="B18" t="s">
        <v>331</v>
      </c>
      <c r="C18" t="s">
        <v>332</v>
      </c>
    </row>
    <row r="19" spans="1:3" x14ac:dyDescent="0.2">
      <c r="A19" t="s">
        <v>2</v>
      </c>
      <c r="B19" t="s">
        <v>333</v>
      </c>
      <c r="C19" t="s">
        <v>334</v>
      </c>
    </row>
    <row r="20" spans="1:3" x14ac:dyDescent="0.2">
      <c r="A20" t="s">
        <v>3</v>
      </c>
      <c r="B20" t="s">
        <v>335</v>
      </c>
      <c r="C20" t="s">
        <v>336</v>
      </c>
    </row>
    <row r="21" spans="1:3" x14ac:dyDescent="0.2">
      <c r="A21" t="s">
        <v>4</v>
      </c>
      <c r="B21" t="s">
        <v>337</v>
      </c>
      <c r="C21" t="s">
        <v>338</v>
      </c>
    </row>
    <row r="22" spans="1:3" x14ac:dyDescent="0.2">
      <c r="A22" t="s">
        <v>5</v>
      </c>
      <c r="B22" t="s">
        <v>339</v>
      </c>
      <c r="C22" t="s">
        <v>340</v>
      </c>
    </row>
    <row r="23" spans="1:3" x14ac:dyDescent="0.2">
      <c r="A23" t="s">
        <v>6</v>
      </c>
      <c r="B23" t="s">
        <v>341</v>
      </c>
      <c r="C23" t="s">
        <v>342</v>
      </c>
    </row>
    <row r="24" spans="1:3" x14ac:dyDescent="0.2">
      <c r="A24" t="s">
        <v>7</v>
      </c>
      <c r="B24" t="s">
        <v>343</v>
      </c>
      <c r="C24" t="s">
        <v>344</v>
      </c>
    </row>
    <row r="25" spans="1:3" x14ac:dyDescent="0.2">
      <c r="A25" t="s">
        <v>8</v>
      </c>
      <c r="B25" t="s">
        <v>345</v>
      </c>
      <c r="C25" t="s">
        <v>346</v>
      </c>
    </row>
    <row r="26" spans="1:3" x14ac:dyDescent="0.2">
      <c r="A26" t="s">
        <v>9</v>
      </c>
      <c r="B26" t="s">
        <v>347</v>
      </c>
      <c r="C26" t="s">
        <v>348</v>
      </c>
    </row>
    <row r="27" spans="1:3" x14ac:dyDescent="0.2">
      <c r="A27" t="s">
        <v>10</v>
      </c>
      <c r="B27" t="s">
        <v>349</v>
      </c>
      <c r="C27" t="s">
        <v>350</v>
      </c>
    </row>
    <row r="28" spans="1:3" x14ac:dyDescent="0.2">
      <c r="A28" t="s">
        <v>11</v>
      </c>
      <c r="B28" t="s">
        <v>351</v>
      </c>
      <c r="C28" t="s">
        <v>352</v>
      </c>
    </row>
    <row r="29" spans="1:3" x14ac:dyDescent="0.2">
      <c r="A29" t="s">
        <v>12</v>
      </c>
      <c r="B29" t="s">
        <v>353</v>
      </c>
      <c r="C29" t="s">
        <v>352</v>
      </c>
    </row>
    <row r="30" spans="1:3" x14ac:dyDescent="0.2">
      <c r="A30" t="s">
        <v>13</v>
      </c>
      <c r="B30" t="s">
        <v>354</v>
      </c>
      <c r="C30" t="s">
        <v>355</v>
      </c>
    </row>
    <row r="31" spans="1:3" x14ac:dyDescent="0.2">
      <c r="A31" t="s">
        <v>14</v>
      </c>
      <c r="B31" t="s">
        <v>356</v>
      </c>
      <c r="C31" t="s">
        <v>355</v>
      </c>
    </row>
    <row r="32" spans="1:3" x14ac:dyDescent="0.2">
      <c r="A32" t="s">
        <v>15</v>
      </c>
      <c r="B32" t="s">
        <v>357</v>
      </c>
      <c r="C32" t="s">
        <v>358</v>
      </c>
    </row>
    <row r="33" spans="1:3" x14ac:dyDescent="0.2">
      <c r="A33" t="s">
        <v>16</v>
      </c>
      <c r="B33" t="s">
        <v>359</v>
      </c>
      <c r="C33" t="s">
        <v>360</v>
      </c>
    </row>
    <row r="34" spans="1:3" x14ac:dyDescent="0.2">
      <c r="A34" t="s">
        <v>17</v>
      </c>
      <c r="B34" t="s">
        <v>361</v>
      </c>
      <c r="C34" t="s">
        <v>362</v>
      </c>
    </row>
    <row r="35" spans="1:3" x14ac:dyDescent="0.2">
      <c r="A35" t="s">
        <v>19</v>
      </c>
    </row>
    <row r="36" spans="1:3" x14ac:dyDescent="0.2">
      <c r="A36" t="s">
        <v>363</v>
      </c>
    </row>
    <row r="37" spans="1:3" x14ac:dyDescent="0.2">
      <c r="A37" t="s">
        <v>364</v>
      </c>
      <c r="B37" t="s">
        <v>365</v>
      </c>
      <c r="C37" t="s">
        <v>366</v>
      </c>
    </row>
    <row r="38" spans="1:3" x14ac:dyDescent="0.2">
      <c r="A38" t="s">
        <v>367</v>
      </c>
      <c r="B38" t="s">
        <v>368</v>
      </c>
      <c r="C38" t="s">
        <v>369</v>
      </c>
    </row>
    <row r="39" spans="1:3" x14ac:dyDescent="0.2">
      <c r="A39" t="s">
        <v>370</v>
      </c>
      <c r="B39" t="s">
        <v>371</v>
      </c>
      <c r="C39" t="s">
        <v>372</v>
      </c>
    </row>
    <row r="40" spans="1:3" x14ac:dyDescent="0.2">
      <c r="A40" t="s">
        <v>373</v>
      </c>
      <c r="B40" t="s">
        <v>374</v>
      </c>
      <c r="C40" t="s">
        <v>375</v>
      </c>
    </row>
    <row r="41" spans="1:3" x14ac:dyDescent="0.2">
      <c r="A41" t="s">
        <v>376</v>
      </c>
      <c r="B41" t="s">
        <v>377</v>
      </c>
      <c r="C41" t="s">
        <v>378</v>
      </c>
    </row>
    <row r="42" spans="1:3" x14ac:dyDescent="0.2">
      <c r="A42" t="s">
        <v>379</v>
      </c>
      <c r="B42" t="s">
        <v>380</v>
      </c>
      <c r="C42" t="s">
        <v>381</v>
      </c>
    </row>
    <row r="43" spans="1:3" x14ac:dyDescent="0.2">
      <c r="A43" t="s">
        <v>382</v>
      </c>
      <c r="B43" t="s">
        <v>383</v>
      </c>
      <c r="C43" t="s">
        <v>384</v>
      </c>
    </row>
    <row r="44" spans="1:3" x14ac:dyDescent="0.2">
      <c r="A44" t="s">
        <v>19</v>
      </c>
    </row>
    <row r="45" spans="1:3" x14ac:dyDescent="0.2">
      <c r="A45" t="s">
        <v>385</v>
      </c>
    </row>
    <row r="46" spans="1:3" x14ac:dyDescent="0.2">
      <c r="A46" t="s">
        <v>386</v>
      </c>
    </row>
    <row r="47" spans="1:3" x14ac:dyDescent="0.2">
      <c r="A47" t="s">
        <v>387</v>
      </c>
    </row>
    <row r="48" spans="1:3" x14ac:dyDescent="0.2">
      <c r="A48" t="s">
        <v>388</v>
      </c>
    </row>
    <row r="49" spans="1:1" x14ac:dyDescent="0.2">
      <c r="A49" t="s">
        <v>389</v>
      </c>
    </row>
    <row r="50" spans="1:1" x14ac:dyDescent="0.2">
      <c r="A50" t="s">
        <v>390</v>
      </c>
    </row>
  </sheetData>
  <pageMargins left="0.7" right="0.7" top="0.75" bottom="0.75" header="0.3" footer="0.3"/>
  <ignoredErrors>
    <ignoredError sqref="A1:C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Tasks</vt:lpstr>
      <vt:lpstr>Instructions</vt:lpstr>
      <vt:lpstr>Tasks!_FilterDatabase</vt:lpstr>
      <vt:lpstr>Tasks!Print_Area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SAPNA</dc:creator>
  <cp:lastModifiedBy>Ashok Hiremath</cp:lastModifiedBy>
  <cp:lastPrinted>2025-11-11T05:52:12Z</cp:lastPrinted>
  <dcterms:created xsi:type="dcterms:W3CDTF">2025-11-08T10:45:23Z</dcterms:created>
  <dcterms:modified xsi:type="dcterms:W3CDTF">2025-11-27T04:01:58Z</dcterms:modified>
</cp:coreProperties>
</file>